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Aerosol\"/>
    </mc:Choice>
  </mc:AlternateContent>
  <xr:revisionPtr revIDLastSave="0" documentId="13_ncr:1_{6806DB8D-CA41-4FD8-9138-C3340740DB22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Job Card" sheetId="1" r:id="rId1"/>
    <sheet name="Aerosol_BOM" sheetId="2" r:id="rId2"/>
    <sheet name="Products_DB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4" i="2" l="1"/>
  <c r="A64" i="2"/>
  <c r="M63" i="2"/>
  <c r="A63" i="2"/>
  <c r="M62" i="2"/>
  <c r="A62" i="2"/>
  <c r="M61" i="2"/>
  <c r="A61" i="2"/>
  <c r="M60" i="2"/>
  <c r="A60" i="2"/>
  <c r="M59" i="2"/>
  <c r="A59" i="2"/>
  <c r="M58" i="2"/>
  <c r="A58" i="2"/>
  <c r="M57" i="2"/>
  <c r="A57" i="2"/>
  <c r="M56" i="2"/>
  <c r="A56" i="2"/>
  <c r="M55" i="2"/>
  <c r="A55" i="2"/>
  <c r="M54" i="2"/>
  <c r="A54" i="2"/>
  <c r="M53" i="2"/>
  <c r="A53" i="2"/>
  <c r="M52" i="2"/>
  <c r="A52" i="2"/>
  <c r="M51" i="2"/>
  <c r="A51" i="2"/>
  <c r="M50" i="2"/>
  <c r="A50" i="2"/>
  <c r="M49" i="2"/>
  <c r="A49" i="2"/>
  <c r="M48" i="2"/>
  <c r="A48" i="2"/>
  <c r="M47" i="2"/>
  <c r="A47" i="2"/>
  <c r="M46" i="2"/>
  <c r="A46" i="2"/>
  <c r="M45" i="2"/>
  <c r="A45" i="2"/>
  <c r="M44" i="2"/>
  <c r="A44" i="2"/>
  <c r="M43" i="2"/>
  <c r="A43" i="2"/>
  <c r="M42" i="2"/>
  <c r="A42" i="2"/>
  <c r="M41" i="2"/>
  <c r="A41" i="2"/>
  <c r="M40" i="2"/>
  <c r="A40" i="2"/>
  <c r="M39" i="2"/>
  <c r="A39" i="2"/>
  <c r="M38" i="2"/>
  <c r="A38" i="2"/>
  <c r="M37" i="2"/>
  <c r="A37" i="2"/>
  <c r="M36" i="2"/>
  <c r="A36" i="2"/>
  <c r="M35" i="2"/>
  <c r="A35" i="2"/>
  <c r="M34" i="2"/>
  <c r="A34" i="2"/>
  <c r="M33" i="2"/>
  <c r="A33" i="2"/>
  <c r="M32" i="2"/>
  <c r="A32" i="2"/>
  <c r="M31" i="2"/>
  <c r="A31" i="2"/>
  <c r="M30" i="2"/>
  <c r="A30" i="2"/>
  <c r="M29" i="2"/>
  <c r="A29" i="2"/>
  <c r="M28" i="2"/>
  <c r="A28" i="2"/>
  <c r="M27" i="2"/>
  <c r="A27" i="2"/>
  <c r="M26" i="2"/>
  <c r="A26" i="2"/>
  <c r="M25" i="2"/>
  <c r="A25" i="2"/>
  <c r="M24" i="2"/>
  <c r="A24" i="2"/>
  <c r="M23" i="2"/>
  <c r="A23" i="2"/>
  <c r="M22" i="2"/>
  <c r="A22" i="2"/>
  <c r="M21" i="2"/>
  <c r="A21" i="2"/>
  <c r="M20" i="2"/>
  <c r="A20" i="2"/>
  <c r="M19" i="2"/>
  <c r="A19" i="2"/>
  <c r="M18" i="2"/>
  <c r="A18" i="2"/>
  <c r="M17" i="2"/>
  <c r="A17" i="2"/>
  <c r="M16" i="2"/>
  <c r="A16" i="2"/>
  <c r="M15" i="2"/>
  <c r="A15" i="2"/>
  <c r="M14" i="2"/>
  <c r="A14" i="2"/>
  <c r="M13" i="2"/>
  <c r="A13" i="2"/>
  <c r="M12" i="2"/>
  <c r="A12" i="2"/>
  <c r="M11" i="2"/>
  <c r="A11" i="2"/>
  <c r="M10" i="2"/>
  <c r="A10" i="2"/>
  <c r="M9" i="2"/>
  <c r="A9" i="2"/>
  <c r="M8" i="2"/>
  <c r="A8" i="2"/>
  <c r="M7" i="2"/>
  <c r="A7" i="2"/>
  <c r="M6" i="2"/>
  <c r="A6" i="2"/>
  <c r="M5" i="2"/>
  <c r="A5" i="2"/>
  <c r="M4" i="2"/>
  <c r="A4" i="2"/>
  <c r="M3" i="2"/>
  <c r="A3" i="2"/>
  <c r="M2" i="2"/>
  <c r="A2" i="2"/>
  <c r="F42" i="1"/>
  <c r="D42" i="1"/>
  <c r="B42" i="1"/>
  <c r="F41" i="1"/>
  <c r="D41" i="1"/>
  <c r="B41" i="1"/>
  <c r="F40" i="1"/>
  <c r="D40" i="1"/>
  <c r="B40" i="1"/>
  <c r="F39" i="1"/>
  <c r="D39" i="1"/>
  <c r="B39" i="1"/>
  <c r="D7" i="1"/>
  <c r="F6" i="1"/>
  <c r="F36" i="1" l="1"/>
  <c r="E36" i="1"/>
  <c r="D36" i="1"/>
  <c r="C36" i="1"/>
  <c r="B36" i="1"/>
  <c r="F35" i="1"/>
  <c r="E35" i="1"/>
  <c r="D35" i="1"/>
  <c r="C35" i="1"/>
  <c r="B35" i="1"/>
  <c r="F34" i="1"/>
  <c r="E34" i="1"/>
  <c r="D34" i="1"/>
  <c r="C34" i="1"/>
  <c r="B34" i="1"/>
  <c r="F33" i="1"/>
  <c r="E33" i="1"/>
  <c r="D33" i="1"/>
  <c r="C33" i="1"/>
  <c r="B33" i="1"/>
  <c r="F32" i="1"/>
  <c r="E32" i="1"/>
  <c r="D32" i="1"/>
  <c r="C32" i="1"/>
  <c r="B32" i="1"/>
  <c r="F31" i="1"/>
  <c r="E31" i="1"/>
  <c r="D31" i="1"/>
  <c r="C31" i="1"/>
  <c r="B31" i="1"/>
  <c r="F30" i="1"/>
  <c r="E30" i="1"/>
  <c r="D30" i="1"/>
  <c r="C30" i="1"/>
  <c r="B30" i="1"/>
  <c r="F29" i="1"/>
  <c r="E29" i="1"/>
  <c r="D29" i="1"/>
  <c r="C29" i="1"/>
  <c r="B29" i="1"/>
  <c r="F28" i="1"/>
  <c r="E28" i="1"/>
  <c r="D28" i="1"/>
  <c r="C28" i="1"/>
  <c r="B28" i="1"/>
  <c r="F27" i="1"/>
  <c r="E27" i="1"/>
  <c r="D27" i="1"/>
  <c r="C27" i="1"/>
  <c r="B27" i="1"/>
  <c r="F26" i="1"/>
  <c r="E26" i="1"/>
  <c r="D26" i="1"/>
  <c r="C26" i="1"/>
  <c r="B26" i="1"/>
  <c r="F25" i="1"/>
  <c r="E25" i="1"/>
  <c r="D25" i="1"/>
  <c r="C25" i="1"/>
  <c r="B25" i="1"/>
  <c r="F24" i="1"/>
  <c r="E24" i="1"/>
  <c r="D24" i="1"/>
  <c r="C24" i="1"/>
  <c r="B24" i="1"/>
  <c r="F23" i="1"/>
  <c r="E23" i="1"/>
  <c r="D23" i="1"/>
  <c r="C23" i="1"/>
  <c r="B23" i="1"/>
  <c r="F22" i="1"/>
  <c r="E22" i="1"/>
  <c r="D22" i="1"/>
  <c r="C22" i="1"/>
  <c r="B22" i="1"/>
  <c r="F21" i="1"/>
  <c r="E21" i="1"/>
  <c r="D21" i="1"/>
  <c r="C21" i="1"/>
  <c r="B21" i="1"/>
  <c r="F20" i="1"/>
  <c r="E20" i="1"/>
  <c r="D20" i="1"/>
  <c r="C20" i="1"/>
  <c r="B20" i="1"/>
  <c r="F19" i="1"/>
  <c r="E19" i="1"/>
  <c r="D19" i="1"/>
  <c r="C19" i="1"/>
  <c r="B19" i="1"/>
  <c r="F18" i="1"/>
  <c r="E18" i="1"/>
  <c r="D18" i="1"/>
  <c r="C18" i="1"/>
  <c r="B18" i="1"/>
  <c r="F17" i="1"/>
  <c r="E17" i="1"/>
  <c r="D17" i="1"/>
  <c r="C17" i="1"/>
  <c r="B17" i="1"/>
  <c r="F16" i="1"/>
  <c r="E16" i="1"/>
  <c r="D16" i="1"/>
  <c r="C16" i="1"/>
  <c r="B16" i="1"/>
  <c r="F15" i="1"/>
  <c r="E15" i="1"/>
  <c r="D15" i="1"/>
  <c r="C15" i="1"/>
  <c r="B15" i="1"/>
  <c r="F14" i="1"/>
  <c r="E14" i="1"/>
  <c r="D14" i="1"/>
  <c r="C14" i="1"/>
  <c r="B14" i="1"/>
  <c r="F13" i="1"/>
  <c r="E13" i="1"/>
  <c r="D13" i="1"/>
  <c r="C13" i="1"/>
  <c r="B13" i="1"/>
  <c r="F12" i="1"/>
  <c r="E12" i="1"/>
  <c r="D12" i="1"/>
  <c r="C12" i="1"/>
  <c r="B12" i="1"/>
</calcChain>
</file>

<file path=xl/sharedStrings.xml><?xml version="1.0" encoding="utf-8"?>
<sst xmlns="http://schemas.openxmlformats.org/spreadsheetml/2006/main" count="567" uniqueCount="137">
  <si>
    <t>ALPHA AEROSOLS PRODUCTION JOB CARD</t>
  </si>
  <si>
    <t>Doc #: AER-JC-001</t>
  </si>
  <si>
    <t>Date: ____________</t>
  </si>
  <si>
    <t>Revision: 00</t>
  </si>
  <si>
    <t>1. JOB / ORDER DETAILS</t>
  </si>
  <si>
    <t>POF #</t>
  </si>
  <si>
    <t>Date</t>
  </si>
  <si>
    <t>Customer</t>
  </si>
  <si>
    <t>Product Name</t>
  </si>
  <si>
    <t>Aerosol Can 45mm</t>
  </si>
  <si>
    <t>Product ID</t>
  </si>
  <si>
    <t>Artwork Ref</t>
  </si>
  <si>
    <t>Order Qty (Cans)</t>
  </si>
  <si>
    <t>Tolerance %</t>
  </si>
  <si>
    <t>Special Instructions</t>
  </si>
  <si>
    <t>2. MATERIAL REQUIRED</t>
  </si>
  <si>
    <t>S#</t>
  </si>
  <si>
    <t>Material Description</t>
  </si>
  <si>
    <t>Item Name</t>
  </si>
  <si>
    <t>Item Code</t>
  </si>
  <si>
    <t>Total Required Qty</t>
  </si>
  <si>
    <t>Unit</t>
  </si>
  <si>
    <t>3. SPECIFICATION</t>
  </si>
  <si>
    <t>Can Type</t>
  </si>
  <si>
    <t>Can Diameter</t>
  </si>
  <si>
    <t>Can Height</t>
  </si>
  <si>
    <t>Neck Opening</t>
  </si>
  <si>
    <t>Wall Thickness</t>
  </si>
  <si>
    <t>Dome Thickness</t>
  </si>
  <si>
    <t>Internal Coating</t>
  </si>
  <si>
    <t>Base Coat Color</t>
  </si>
  <si>
    <t>Print Colors</t>
  </si>
  <si>
    <t>Varnish Type</t>
  </si>
  <si>
    <t>Packing Standard</t>
  </si>
  <si>
    <t>4. APPROVAL / SIGN-OFF</t>
  </si>
  <si>
    <t>Planning</t>
  </si>
  <si>
    <t>Store</t>
  </si>
  <si>
    <t>Production</t>
  </si>
  <si>
    <t>Quality</t>
  </si>
  <si>
    <t>LookupKey</t>
  </si>
  <si>
    <t>P.ID</t>
  </si>
  <si>
    <t>BOM ID</t>
  </si>
  <si>
    <t>Dia</t>
  </si>
  <si>
    <t>Material Group</t>
  </si>
  <si>
    <t>Item ID</t>
  </si>
  <si>
    <t>UOM</t>
  </si>
  <si>
    <t>Net Qty / 1000</t>
  </si>
  <si>
    <t>Waste + Tolerance</t>
  </si>
  <si>
    <t>Gross Qty / 1000</t>
  </si>
  <si>
    <t>Remarks</t>
  </si>
  <si>
    <t>Calculations</t>
  </si>
  <si>
    <t>Aerosol Customer</t>
  </si>
  <si>
    <t>Aluminum Slugs</t>
  </si>
  <si>
    <t>45mm Aluminum Slug</t>
  </si>
  <si>
    <t>kg</t>
  </si>
  <si>
    <t>Slug weight per can × 1000. Fixed material input.</t>
  </si>
  <si>
    <t>Lubricant</t>
  </si>
  <si>
    <t>SAPILUB LUBRIMET GR8</t>
  </si>
  <si>
    <t>105g per 100kg slugs × 20kg slugs/1000 = 0.021 kg/1000. (Ref: LUBRIMET GR8 TDS)</t>
  </si>
  <si>
    <t>Cleaner</t>
  </si>
  <si>
    <t>SAPILUB ALULIQUID 13</t>
  </si>
  <si>
    <t>Empirical / supplier recommendation. No TDS rate available.</t>
  </si>
  <si>
    <t>Lacquer</t>
  </si>
  <si>
    <t>SCHEKOSOL INT PROT Gold (400 9 901)</t>
  </si>
  <si>
    <t>Can inner surface area (0.02375 m2) * High-end TDS wet film (44.0 g/m2) / (1 - 0.35 spray loss) = 1.608 kg/1000</t>
  </si>
  <si>
    <t>SCHEKOSOL INT BEIGE (400 4 902)</t>
  </si>
  <si>
    <t>Can inner surface area (0.02375 m2) * High-end TDS wet film (48.0 g/m2) / (1 - 0.35 spray loss) = 1.754 kg/1000</t>
  </si>
  <si>
    <t>Base Coat</t>
  </si>
  <si>
    <t>SCHEKOSOL WH BC (422 0 903)</t>
  </si>
  <si>
    <t>Can outer surface area (0.02262 m²) × High-end TDS wet film (43.0 g/m²) = 0.973 g/can = 0.973 kg/1000</t>
  </si>
  <si>
    <t>SCHEKOSOL CLEAR BC (422 9 918)</t>
  </si>
  <si>
    <t>Can outer surface area (0.02262 m²) × High-end TDS wet film (31.0 g/m²) = 0.701 g/can = 0.701 kg/1000</t>
  </si>
  <si>
    <t>Varnish</t>
  </si>
  <si>
    <t>SCHEKOSOL OPV GLOSSY (422 9 900)</t>
  </si>
  <si>
    <t>Can outer surface area (0.02262 m²) × High-end TDS wet film (19.0 g/m²) = 0.430 g/can = 0.430 kg/1000</t>
  </si>
  <si>
    <t>SCHEKOSOL OPV SILKMATT (422 9 903)</t>
  </si>
  <si>
    <t>Can outer surface area (0.02262 m²) × High-end TDS wet film (17.0 g/m²) = 0.385 g/can = 0.385 kg/1000</t>
  </si>
  <si>
    <t>Ink</t>
  </si>
  <si>
    <t>SunAltec MB PLUS 169766 OPAQUE WHITE</t>
  </si>
  <si>
    <t>Ink usage varies by print design, coverage area, and number of colors.</t>
  </si>
  <si>
    <t>Dry-offset ink per print station per can ≈ 0.28 g/can = 0.280 kg/1000.</t>
  </si>
  <si>
    <t>11069 UV INK YELLOW (168391) AEROSOL</t>
  </si>
  <si>
    <t>11070 UV INK MAGENTA (168396) AEROSOL</t>
  </si>
  <si>
    <t>11071 UV INK BLACK (401295) AEROSOL</t>
  </si>
  <si>
    <t>11072 UV INK TRANSPARENT WHITE (169167) AEROSOL</t>
  </si>
  <si>
    <t>11065 UV INK REFLEX BLUE (168402) AEROSOL</t>
  </si>
  <si>
    <t>11066 UV INK RHODAMINE (168397) AEROSOL</t>
  </si>
  <si>
    <t>11067 UV INK PURPLE (168398) AEROSOL</t>
  </si>
  <si>
    <t>11068 UV INK VIOLET (168399) AEROSOL</t>
  </si>
  <si>
    <t>11074 UV INK RED 032 (156358/CF01) AEROSOL</t>
  </si>
  <si>
    <t>11073 UV INK CYAN (168400) AEROSOL</t>
  </si>
  <si>
    <t>11075 UV INK OPAQUE WHITE (400050) AEROSOL</t>
  </si>
  <si>
    <t>Aerosol Can 45x150mm</t>
  </si>
  <si>
    <t>Aerosol Can 45x160mm</t>
  </si>
  <si>
    <t>Dates_List</t>
  </si>
  <si>
    <t>Necked-in</t>
  </si>
  <si>
    <t>45mm</t>
  </si>
  <si>
    <t>150mm</t>
  </si>
  <si>
    <t>1 inch</t>
  </si>
  <si>
    <t>0.35mm</t>
  </si>
  <si>
    <t>Epoxy Gold</t>
  </si>
  <si>
    <t>White</t>
  </si>
  <si>
    <t>4 Colors</t>
  </si>
  <si>
    <t>Glossy</t>
  </si>
  <si>
    <t>100 per Carton</t>
  </si>
  <si>
    <t>08-Jul-2026</t>
  </si>
  <si>
    <t>09-Jul-2026</t>
  </si>
  <si>
    <t>160mm</t>
  </si>
  <si>
    <t>0.40mm</t>
  </si>
  <si>
    <t>10-Jul-2026</t>
  </si>
  <si>
    <t>11-Jul-2026</t>
  </si>
  <si>
    <t>12-Jul-2026</t>
  </si>
  <si>
    <t>13-Jul-2026</t>
  </si>
  <si>
    <t>14-Jul-2026</t>
  </si>
  <si>
    <t>15-Jul-2026</t>
  </si>
  <si>
    <t>16-Jul-2026</t>
  </si>
  <si>
    <t>17-Jul-2026</t>
  </si>
  <si>
    <t>18-Jul-2026</t>
  </si>
  <si>
    <t>19-Jul-2026</t>
  </si>
  <si>
    <t>20-Jul-2026</t>
  </si>
  <si>
    <t>21-Jul-2026</t>
  </si>
  <si>
    <t>22-Jul-2026</t>
  </si>
  <si>
    <t>23-Jul-2026</t>
  </si>
  <si>
    <t>24-Jul-2026</t>
  </si>
  <si>
    <t>25-Jul-2026</t>
  </si>
  <si>
    <t>26-Jul-2026</t>
  </si>
  <si>
    <t>27-Jul-2026</t>
  </si>
  <si>
    <t>28-Jul-2026</t>
  </si>
  <si>
    <t>29-Jul-2026</t>
  </si>
  <si>
    <t>30-Jul-2026</t>
  </si>
  <si>
    <t>31-Jul-2026</t>
  </si>
  <si>
    <t>01-Aug-2026</t>
  </si>
  <si>
    <t>02-Aug-2026</t>
  </si>
  <si>
    <t>03-Aug-2026</t>
  </si>
  <si>
    <t>04-Aug-2026</t>
  </si>
  <si>
    <t>05-Aug-2026</t>
  </si>
  <si>
    <t>06-Aug-2026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</si>
</sst>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color rgb="FFFFFFFF"/>
      <name val="Calibri"/>
    </font>
    <font>
      <b/>
      <sz val="20"/>
      <color rgb="FF0056C1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1F4E78"/>
        <bgColor rgb="FF1F4E78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0" xfId="0" applyFont="1" applyFill="1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2" fillId="3" borderId="0" xfId="0" applyFont="1" applyFill="1"/>
    <xf numFmtId="0" fontId="0" fillId="0" borderId="0" xfId="0"/>
    <xf numFmtId="0" fontId="0" fillId="0" borderId="1" xfId="0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2" xfId="0" applyBorder="1"/>
    <xf numFmtId="0" fontId="0" fillId="0" borderId="8" xfId="0" applyBorder="1"/>
    <xf numFmtId="0" fontId="0" fillId="0" borderId="9" xfId="0" applyBorder="1"/>
    <xf numFmtId="0" fontId="0" fillId="0" borderId="13" xfId="0" applyBorder="1"/>
    <xf numFmtId="0" fontId="0" fillId="0" borderId="10" xfId="0" applyBorder="1"/>
    <xf numFmtId="0" fontId="3" fillId="0" borderId="0" xfId="0" applyFont="1" applyAlignment="1">
      <alignment horizontal="center" vertical="center"/>
    </xf>
    <xf numFmtId="0" fontId="0" fillId="0" borderId="11" xfId="0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0" borderId="12" xfId="0" applyBorder="1"/>
    <xf numFmtId="0" fontId="0" fillId="0" borderId="7" xfId="0" applyBorder="1"/>
    <xf numFmtId="0" fontId="0" fillId="0" borderId="1" xfId="0" applyBorder="1"/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52500" cy="4762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8"/>
  <sheetViews>
    <sheetView tabSelected="1" topLeftCell="A9" workbookViewId="0">
      <selection activeCell="C13" sqref="C13"/>
    </sheetView>
  </sheetViews>
  <sheetFormatPr defaultRowHeight="15" x14ac:dyDescent="0.25"/>
  <cols>
    <col min="1" max="1" width="20" customWidth="1"/>
    <col min="2" max="2" width="25" customWidth="1"/>
    <col min="3" max="3" width="48.7109375" customWidth="1"/>
    <col min="4" max="4" width="11" customWidth="1"/>
    <col min="5" max="5" width="20" customWidth="1"/>
    <col min="6" max="6" width="15" customWidth="1"/>
  </cols>
  <sheetData>
    <row r="1" spans="1:6" x14ac:dyDescent="0.25">
      <c r="B1" s="21" t="s">
        <v>0</v>
      </c>
      <c r="C1" s="12"/>
      <c r="D1" s="12"/>
      <c r="E1" t="s">
        <v>1</v>
      </c>
    </row>
    <row r="2" spans="1:6" x14ac:dyDescent="0.25">
      <c r="B2" s="12"/>
      <c r="C2" s="12"/>
      <c r="D2" s="12"/>
      <c r="E2" t="s">
        <v>2</v>
      </c>
    </row>
    <row r="3" spans="1:6" x14ac:dyDescent="0.25">
      <c r="E3" t="s">
        <v>3</v>
      </c>
    </row>
    <row r="5" spans="1:6" ht="18.75" customHeight="1" x14ac:dyDescent="0.3">
      <c r="A5" s="11" t="s">
        <v>4</v>
      </c>
      <c r="B5" s="12"/>
      <c r="C5" s="12"/>
      <c r="D5" s="12"/>
      <c r="E5" s="12"/>
      <c r="F5" s="12"/>
    </row>
    <row r="6" spans="1:6" x14ac:dyDescent="0.25">
      <c r="A6" s="1" t="s">
        <v>5</v>
      </c>
      <c r="B6" s="6"/>
      <c r="C6" s="7" t="s">
        <v>6</v>
      </c>
      <c r="D6" s="6"/>
      <c r="E6" s="7" t="s">
        <v>7</v>
      </c>
      <c r="F6" s="6" t="str">
        <f>IFERROR(VLOOKUP(B7, Products_DB!A:C, 3, FALSE), "")</f>
        <v>Aerosol Customer</v>
      </c>
    </row>
    <row r="7" spans="1:6" x14ac:dyDescent="0.25">
      <c r="A7" s="1" t="s">
        <v>8</v>
      </c>
      <c r="B7" s="6" t="s">
        <v>9</v>
      </c>
      <c r="C7" s="7" t="s">
        <v>10</v>
      </c>
      <c r="D7" s="6">
        <f>IFERROR(VLOOKUP(B7, Products_DB!A:C, 2, FALSE), "")</f>
        <v>9001</v>
      </c>
      <c r="E7" s="7" t="s">
        <v>11</v>
      </c>
      <c r="F7" s="6"/>
    </row>
    <row r="8" spans="1:6" x14ac:dyDescent="0.25">
      <c r="A8" s="1" t="s">
        <v>12</v>
      </c>
      <c r="B8" s="6">
        <v>50000</v>
      </c>
      <c r="C8" s="7" t="s">
        <v>13</v>
      </c>
      <c r="D8" s="8">
        <v>0.05</v>
      </c>
      <c r="E8" s="7" t="s">
        <v>14</v>
      </c>
      <c r="F8" s="6"/>
    </row>
    <row r="10" spans="1:6" ht="18.75" customHeight="1" x14ac:dyDescent="0.3">
      <c r="A10" s="11" t="s">
        <v>15</v>
      </c>
      <c r="B10" s="12"/>
      <c r="C10" s="12"/>
      <c r="D10" s="12"/>
      <c r="E10" s="12"/>
      <c r="F10" s="12"/>
    </row>
    <row r="11" spans="1:6" x14ac:dyDescent="0.25">
      <c r="A11" s="3" t="s">
        <v>16</v>
      </c>
      <c r="B11" s="3" t="s">
        <v>17</v>
      </c>
      <c r="C11" s="3" t="s">
        <v>18</v>
      </c>
      <c r="D11" s="3" t="s">
        <v>19</v>
      </c>
      <c r="E11" s="3" t="s">
        <v>20</v>
      </c>
      <c r="F11" s="3" t="s">
        <v>21</v>
      </c>
    </row>
    <row r="12" spans="1:6" x14ac:dyDescent="0.25">
      <c r="A12" s="4">
        <v>1</v>
      </c>
      <c r="B12" s="6" t="str">
        <f>IFERROR(VLOOKUP($B$7&amp;"_"&amp;$A12, Aerosol_BOM!$A:$O, 7, FALSE), "")</f>
        <v>Aluminum Slugs</v>
      </c>
      <c r="C12" s="2" t="str">
        <f>IFERROR(VLOOKUP($B$7&amp;"_"&amp;$A12, Aerosol_BOM!$A:$O, 9, FALSE), "")</f>
        <v>45mm Aluminum Slug</v>
      </c>
      <c r="D12" s="6">
        <f>IFERROR(VLOOKUP($B$7&amp;"_"&amp;$A12, Aerosol_BOM!$A:$O, 8, FALSE), "")</f>
        <v>501</v>
      </c>
      <c r="E12" s="9">
        <f>IFERROR(VLOOKUP($B$7&amp;"_"&amp;$A12, Aerosol_BOM!$A:$O, 13, FALSE) * $B$8 / 1000, "")</f>
        <v>1111.1111111111111</v>
      </c>
      <c r="F12" s="2" t="str">
        <f>IFERROR(VLOOKUP($B$7&amp;"_"&amp;$A12, Aerosol_BOM!$A:$O, 10, FALSE), "")</f>
        <v>kg</v>
      </c>
    </row>
    <row r="13" spans="1:6" x14ac:dyDescent="0.25">
      <c r="A13" s="4">
        <v>2</v>
      </c>
      <c r="B13" s="6" t="str">
        <f>IFERROR(VLOOKUP($B$7&amp;"_"&amp;$A13, Aerosol_BOM!$A:$O, 7, FALSE), "")</f>
        <v>Lubricant</v>
      </c>
      <c r="C13" s="2" t="str">
        <f>IFERROR(VLOOKUP($B$7&amp;"_"&amp;$A13, Aerosol_BOM!$A:$O, 9, FALSE), "")</f>
        <v>SAPILUB LUBRIMET GR8</v>
      </c>
      <c r="D13" s="6">
        <f>IFERROR(VLOOKUP($B$7&amp;"_"&amp;$A13, Aerosol_BOM!$A:$O, 8, FALSE), "")</f>
        <v>502</v>
      </c>
      <c r="E13" s="9">
        <f>IFERROR(VLOOKUP($B$7&amp;"_"&amp;$A13, Aerosol_BOM!$A:$O, 13, FALSE) * $B$8 / 1000, "")</f>
        <v>1.1666666666666667</v>
      </c>
      <c r="F13" s="2" t="str">
        <f>IFERROR(VLOOKUP($B$7&amp;"_"&amp;$A13, Aerosol_BOM!$A:$O, 10, FALSE), "")</f>
        <v>kg</v>
      </c>
    </row>
    <row r="14" spans="1:6" x14ac:dyDescent="0.25">
      <c r="A14" s="4">
        <v>3</v>
      </c>
      <c r="B14" s="6" t="str">
        <f>IFERROR(VLOOKUP($B$7&amp;"_"&amp;$A14, Aerosol_BOM!$A:$O, 7, FALSE), "")</f>
        <v>Cleaner</v>
      </c>
      <c r="C14" s="2" t="str">
        <f>IFERROR(VLOOKUP($B$7&amp;"_"&amp;$A14, Aerosol_BOM!$A:$O, 9, FALSE), "")</f>
        <v>SAPILUB ALULIQUID 13</v>
      </c>
      <c r="D14" s="6">
        <f>IFERROR(VLOOKUP($B$7&amp;"_"&amp;$A14, Aerosol_BOM!$A:$O, 8, FALSE), "")</f>
        <v>503</v>
      </c>
      <c r="E14" s="9">
        <f>IFERROR(VLOOKUP($B$7&amp;"_"&amp;$A14, Aerosol_BOM!$A:$O, 13, FALSE) * $B$8 / 1000, "")</f>
        <v>277.77777777777777</v>
      </c>
      <c r="F14" s="2" t="str">
        <f>IFERROR(VLOOKUP($B$7&amp;"_"&amp;$A14, Aerosol_BOM!$A:$O, 10, FALSE), "")</f>
        <v>kg</v>
      </c>
    </row>
    <row r="15" spans="1:6" x14ac:dyDescent="0.25">
      <c r="A15" s="4">
        <v>4</v>
      </c>
      <c r="B15" s="6" t="str">
        <f>IFERROR(VLOOKUP($B$7&amp;"_"&amp;$A15, Aerosol_BOM!$A:$O, 7, FALSE), "")</f>
        <v>Lacquer</v>
      </c>
      <c r="C15" s="2" t="str">
        <f>IFERROR(VLOOKUP($B$7&amp;"_"&amp;$A15, Aerosol_BOM!$A:$O, 9, FALSE), "")</f>
        <v>SCHEKOSOL INT PROT Gold (400 9 901)</v>
      </c>
      <c r="D15" s="6">
        <f>IFERROR(VLOOKUP($B$7&amp;"_"&amp;$A15, Aerosol_BOM!$A:$O, 8, FALSE), "")</f>
        <v>504</v>
      </c>
      <c r="E15" s="9">
        <f>IFERROR(VLOOKUP($B$7&amp;"_"&amp;$A15, Aerosol_BOM!$A:$O, 13, FALSE) * $B$8 / 1000, "")</f>
        <v>80.384615384615373</v>
      </c>
      <c r="F15" s="2" t="str">
        <f>IFERROR(VLOOKUP($B$7&amp;"_"&amp;$A15, Aerosol_BOM!$A:$O, 10, FALSE), "")</f>
        <v>kg</v>
      </c>
    </row>
    <row r="16" spans="1:6" x14ac:dyDescent="0.25">
      <c r="A16" s="4">
        <v>5</v>
      </c>
      <c r="B16" s="6" t="str">
        <f>IFERROR(VLOOKUP($B$7&amp;"_"&amp;$A16, Aerosol_BOM!$A:$O, 7, FALSE), "")</f>
        <v>Lacquer</v>
      </c>
      <c r="C16" s="2" t="str">
        <f>IFERROR(VLOOKUP($B$7&amp;"_"&amp;$A16, Aerosol_BOM!$A:$O, 9, FALSE), "")</f>
        <v>SCHEKOSOL INT BEIGE (400 4 902)</v>
      </c>
      <c r="D16" s="6">
        <f>IFERROR(VLOOKUP($B$7&amp;"_"&amp;$A16, Aerosol_BOM!$A:$O, 8, FALSE), "")</f>
        <v>505</v>
      </c>
      <c r="E16" s="9">
        <f>IFERROR(VLOOKUP($B$7&amp;"_"&amp;$A16, Aerosol_BOM!$A:$O, 13, FALSE) * $B$8 / 1000, "")</f>
        <v>87.692307692307679</v>
      </c>
      <c r="F16" s="2" t="str">
        <f>IFERROR(VLOOKUP($B$7&amp;"_"&amp;$A16, Aerosol_BOM!$A:$O, 10, FALSE), "")</f>
        <v>kg</v>
      </c>
    </row>
    <row r="17" spans="1:6" x14ac:dyDescent="0.25">
      <c r="A17" s="4">
        <v>6</v>
      </c>
      <c r="B17" s="6" t="str">
        <f>IFERROR(VLOOKUP($B$7&amp;"_"&amp;$A17, Aerosol_BOM!$A:$O, 7, FALSE), "")</f>
        <v>Base Coat</v>
      </c>
      <c r="C17" s="2" t="str">
        <f>IFERROR(VLOOKUP($B$7&amp;"_"&amp;$A17, Aerosol_BOM!$A:$O, 9, FALSE), "")</f>
        <v>SCHEKOSOL WH BC (422 0 903)</v>
      </c>
      <c r="D17" s="6">
        <f>IFERROR(VLOOKUP($B$7&amp;"_"&amp;$A17, Aerosol_BOM!$A:$O, 8, FALSE), "")</f>
        <v>506</v>
      </c>
      <c r="E17" s="9">
        <f>IFERROR(VLOOKUP($B$7&amp;"_"&amp;$A17, Aerosol_BOM!$A:$O, 13, FALSE) * $B$8 / 1000, "")</f>
        <v>54.055555555555557</v>
      </c>
      <c r="F17" s="2" t="str">
        <f>IFERROR(VLOOKUP($B$7&amp;"_"&amp;$A17, Aerosol_BOM!$A:$O, 10, FALSE), "")</f>
        <v>kg</v>
      </c>
    </row>
    <row r="18" spans="1:6" x14ac:dyDescent="0.25">
      <c r="A18" s="4">
        <v>7</v>
      </c>
      <c r="B18" s="6" t="str">
        <f>IFERROR(VLOOKUP($B$7&amp;"_"&amp;$A18, Aerosol_BOM!$A:$O, 7, FALSE), "")</f>
        <v>Base Coat</v>
      </c>
      <c r="C18" s="2" t="str">
        <f>IFERROR(VLOOKUP($B$7&amp;"_"&amp;$A18, Aerosol_BOM!$A:$O, 9, FALSE), "")</f>
        <v>SCHEKOSOL CLEAR BC (422 9 918)</v>
      </c>
      <c r="D18" s="6">
        <f>IFERROR(VLOOKUP($B$7&amp;"_"&amp;$A18, Aerosol_BOM!$A:$O, 8, FALSE), "")</f>
        <v>507</v>
      </c>
      <c r="E18" s="9">
        <f>IFERROR(VLOOKUP($B$7&amp;"_"&amp;$A18, Aerosol_BOM!$A:$O, 13, FALSE) * $B$8 / 1000, "")</f>
        <v>38.944444444444443</v>
      </c>
      <c r="F18" s="2" t="str">
        <f>IFERROR(VLOOKUP($B$7&amp;"_"&amp;$A18, Aerosol_BOM!$A:$O, 10, FALSE), "")</f>
        <v>kg</v>
      </c>
    </row>
    <row r="19" spans="1:6" x14ac:dyDescent="0.25">
      <c r="A19" s="4">
        <v>8</v>
      </c>
      <c r="B19" s="6" t="str">
        <f>IFERROR(VLOOKUP($B$7&amp;"_"&amp;$A19, Aerosol_BOM!$A:$O, 7, FALSE), "")</f>
        <v>Varnish</v>
      </c>
      <c r="C19" s="2" t="str">
        <f>IFERROR(VLOOKUP($B$7&amp;"_"&amp;$A19, Aerosol_BOM!$A:$O, 9, FALSE), "")</f>
        <v>SCHEKOSOL OPV GLOSSY (422 9 900)</v>
      </c>
      <c r="D19" s="6">
        <f>IFERROR(VLOOKUP($B$7&amp;"_"&amp;$A19, Aerosol_BOM!$A:$O, 8, FALSE), "")</f>
        <v>508</v>
      </c>
      <c r="E19" s="9">
        <f>IFERROR(VLOOKUP($B$7&amp;"_"&amp;$A19, Aerosol_BOM!$A:$O, 13, FALSE) * $B$8 / 1000, "")</f>
        <v>23.888888888888886</v>
      </c>
      <c r="F19" s="2" t="str">
        <f>IFERROR(VLOOKUP($B$7&amp;"_"&amp;$A19, Aerosol_BOM!$A:$O, 10, FALSE), "")</f>
        <v>kg</v>
      </c>
    </row>
    <row r="20" spans="1:6" x14ac:dyDescent="0.25">
      <c r="A20" s="4">
        <v>9</v>
      </c>
      <c r="B20" s="6" t="str">
        <f>IFERROR(VLOOKUP($B$7&amp;"_"&amp;$A20, Aerosol_BOM!$A:$O, 7, FALSE), "")</f>
        <v>Varnish</v>
      </c>
      <c r="C20" s="2" t="str">
        <f>IFERROR(VLOOKUP($B$7&amp;"_"&amp;$A20, Aerosol_BOM!$A:$O, 9, FALSE), "")</f>
        <v>SCHEKOSOL OPV SILKMATT (422 9 903)</v>
      </c>
      <c r="D20" s="6">
        <f>IFERROR(VLOOKUP($B$7&amp;"_"&amp;$A20, Aerosol_BOM!$A:$O, 8, FALSE), "")</f>
        <v>509</v>
      </c>
      <c r="E20" s="9">
        <f>IFERROR(VLOOKUP($B$7&amp;"_"&amp;$A20, Aerosol_BOM!$A:$O, 13, FALSE) * $B$8 / 1000, "")</f>
        <v>21.388888888888886</v>
      </c>
      <c r="F20" s="2" t="str">
        <f>IFERROR(VLOOKUP($B$7&amp;"_"&amp;$A20, Aerosol_BOM!$A:$O, 10, FALSE), "")</f>
        <v>kg</v>
      </c>
    </row>
    <row r="21" spans="1:6" x14ac:dyDescent="0.25">
      <c r="A21" s="4">
        <v>10</v>
      </c>
      <c r="B21" s="6" t="str">
        <f>IFERROR(VLOOKUP($B$7&amp;"_"&amp;$A21, Aerosol_BOM!$A:$O, 7, FALSE), "")</f>
        <v>Ink</v>
      </c>
      <c r="C21" s="2" t="str">
        <f>IFERROR(VLOOKUP($B$7&amp;"_"&amp;$A21, Aerosol_BOM!$A:$O, 9, FALSE), "")</f>
        <v>SunAltec MB PLUS 169766 OPAQUE WHITE</v>
      </c>
      <c r="D21" s="6">
        <f>IFERROR(VLOOKUP($B$7&amp;"_"&amp;$A21, Aerosol_BOM!$A:$O, 8, FALSE), "")</f>
        <v>510</v>
      </c>
      <c r="E21" s="9">
        <f>IFERROR(VLOOKUP($B$7&amp;"_"&amp;$A21, Aerosol_BOM!$A:$O, 13, FALSE) * $B$8 / 1000, "")</f>
        <v>15.555555555555557</v>
      </c>
      <c r="F21" s="2" t="str">
        <f>IFERROR(VLOOKUP($B$7&amp;"_"&amp;$A21, Aerosol_BOM!$A:$O, 10, FALSE), "")</f>
        <v>kg</v>
      </c>
    </row>
    <row r="22" spans="1:6" x14ac:dyDescent="0.25">
      <c r="A22" s="4">
        <v>11</v>
      </c>
      <c r="B22" s="6" t="str">
        <f>IFERROR(VLOOKUP($B$7&amp;"_"&amp;$A22, Aerosol_BOM!$A:$O, 7, FALSE), "")</f>
        <v>Ink</v>
      </c>
      <c r="C22" s="2" t="str">
        <f>IFERROR(VLOOKUP($B$7&amp;"_"&amp;$A22, Aerosol_BOM!$A:$O, 9, FALSE), "")</f>
        <v>11069 UV INK YELLOW (168391) AEROSOL</v>
      </c>
      <c r="D22" s="6">
        <f>IFERROR(VLOOKUP($B$7&amp;"_"&amp;$A22, Aerosol_BOM!$A:$O, 8, FALSE), "")</f>
        <v>599</v>
      </c>
      <c r="E22" s="9">
        <f>IFERROR(VLOOKUP($B$7&amp;"_"&amp;$A22, Aerosol_BOM!$A:$O, 13, FALSE) * $B$8 / 1000, "")</f>
        <v>15.555555555555557</v>
      </c>
      <c r="F22" s="2" t="str">
        <f>IFERROR(VLOOKUP($B$7&amp;"_"&amp;$A22, Aerosol_BOM!$A:$O, 10, FALSE), "")</f>
        <v>kg</v>
      </c>
    </row>
    <row r="23" spans="1:6" x14ac:dyDescent="0.25">
      <c r="A23" s="4">
        <v>12</v>
      </c>
      <c r="B23" s="6" t="str">
        <f>IFERROR(VLOOKUP($B$7&amp;"_"&amp;$A23, Aerosol_BOM!$A:$O, 7, FALSE), "")</f>
        <v>Ink</v>
      </c>
      <c r="C23" s="2" t="str">
        <f>IFERROR(VLOOKUP($B$7&amp;"_"&amp;$A23, Aerosol_BOM!$A:$O, 9, FALSE), "")</f>
        <v>11070 UV INK MAGENTA (168396) AEROSOL</v>
      </c>
      <c r="D23" s="6">
        <f>IFERROR(VLOOKUP($B$7&amp;"_"&amp;$A23, Aerosol_BOM!$A:$O, 8, FALSE), "")</f>
        <v>600</v>
      </c>
      <c r="E23" s="9">
        <f>IFERROR(VLOOKUP($B$7&amp;"_"&amp;$A23, Aerosol_BOM!$A:$O, 13, FALSE) * $B$8 / 1000, "")</f>
        <v>15.555555555555557</v>
      </c>
      <c r="F23" s="2" t="str">
        <f>IFERROR(VLOOKUP($B$7&amp;"_"&amp;$A23, Aerosol_BOM!$A:$O, 10, FALSE), "")</f>
        <v>kg</v>
      </c>
    </row>
    <row r="24" spans="1:6" x14ac:dyDescent="0.25">
      <c r="A24" s="4">
        <v>13</v>
      </c>
      <c r="B24" s="6" t="str">
        <f>IFERROR(VLOOKUP($B$7&amp;"_"&amp;$A24, Aerosol_BOM!$A:$O, 7, FALSE), "")</f>
        <v>Ink</v>
      </c>
      <c r="C24" s="2" t="str">
        <f>IFERROR(VLOOKUP($B$7&amp;"_"&amp;$A24, Aerosol_BOM!$A:$O, 9, FALSE), "")</f>
        <v>11071 UV INK BLACK (401295) AEROSOL</v>
      </c>
      <c r="D24" s="6">
        <f>IFERROR(VLOOKUP($B$7&amp;"_"&amp;$A24, Aerosol_BOM!$A:$O, 8, FALSE), "")</f>
        <v>601</v>
      </c>
      <c r="E24" s="9">
        <f>IFERROR(VLOOKUP($B$7&amp;"_"&amp;$A24, Aerosol_BOM!$A:$O, 13, FALSE) * $B$8 / 1000, "")</f>
        <v>15.555555555555557</v>
      </c>
      <c r="F24" s="2" t="str">
        <f>IFERROR(VLOOKUP($B$7&amp;"_"&amp;$A24, Aerosol_BOM!$A:$O, 10, FALSE), "")</f>
        <v>kg</v>
      </c>
    </row>
    <row r="25" spans="1:6" x14ac:dyDescent="0.25">
      <c r="A25" s="4">
        <v>14</v>
      </c>
      <c r="B25" s="6" t="str">
        <f>IFERROR(VLOOKUP($B$7&amp;"_"&amp;$A25, Aerosol_BOM!$A:$O, 7, FALSE), "")</f>
        <v>Ink</v>
      </c>
      <c r="C25" s="2" t="str">
        <f>IFERROR(VLOOKUP($B$7&amp;"_"&amp;$A25, Aerosol_BOM!$A:$O, 9, FALSE), "")</f>
        <v>11072 UV INK TRANSPARENT WHITE (169167) AEROSOL</v>
      </c>
      <c r="D25" s="6">
        <f>IFERROR(VLOOKUP($B$7&amp;"_"&amp;$A25, Aerosol_BOM!$A:$O, 8, FALSE), "")</f>
        <v>602</v>
      </c>
      <c r="E25" s="9">
        <f>IFERROR(VLOOKUP($B$7&amp;"_"&amp;$A25, Aerosol_BOM!$A:$O, 13, FALSE) * $B$8 / 1000, "")</f>
        <v>15.555555555555557</v>
      </c>
      <c r="F25" s="2" t="str">
        <f>IFERROR(VLOOKUP($B$7&amp;"_"&amp;$A25, Aerosol_BOM!$A:$O, 10, FALSE), "")</f>
        <v>kg</v>
      </c>
    </row>
    <row r="26" spans="1:6" x14ac:dyDescent="0.25">
      <c r="A26" s="4">
        <v>15</v>
      </c>
      <c r="B26" s="6" t="str">
        <f>IFERROR(VLOOKUP($B$7&amp;"_"&amp;$A26, Aerosol_BOM!$A:$O, 7, FALSE), "")</f>
        <v>Ink</v>
      </c>
      <c r="C26" s="2" t="str">
        <f>IFERROR(VLOOKUP($B$7&amp;"_"&amp;$A26, Aerosol_BOM!$A:$O, 9, FALSE), "")</f>
        <v>11065 UV INK REFLEX BLUE (168402) AEROSOL</v>
      </c>
      <c r="D26" s="6">
        <f>IFERROR(VLOOKUP($B$7&amp;"_"&amp;$A26, Aerosol_BOM!$A:$O, 8, FALSE), "")</f>
        <v>603</v>
      </c>
      <c r="E26" s="9">
        <f>IFERROR(VLOOKUP($B$7&amp;"_"&amp;$A26, Aerosol_BOM!$A:$O, 13, FALSE) * $B$8 / 1000, "")</f>
        <v>15.555555555555557</v>
      </c>
      <c r="F26" s="2" t="str">
        <f>IFERROR(VLOOKUP($B$7&amp;"_"&amp;$A26, Aerosol_BOM!$A:$O, 10, FALSE), "")</f>
        <v>kg</v>
      </c>
    </row>
    <row r="27" spans="1:6" x14ac:dyDescent="0.25">
      <c r="A27" s="4">
        <v>16</v>
      </c>
      <c r="B27" s="6" t="str">
        <f>IFERROR(VLOOKUP($B$7&amp;"_"&amp;$A27, Aerosol_BOM!$A:$O, 7, FALSE), "")</f>
        <v>Ink</v>
      </c>
      <c r="C27" s="2" t="str">
        <f>IFERROR(VLOOKUP($B$7&amp;"_"&amp;$A27, Aerosol_BOM!$A:$O, 9, FALSE), "")</f>
        <v>11066 UV INK RHODAMINE (168397) AEROSOL</v>
      </c>
      <c r="D27" s="6">
        <f>IFERROR(VLOOKUP($B$7&amp;"_"&amp;$A27, Aerosol_BOM!$A:$O, 8, FALSE), "")</f>
        <v>604</v>
      </c>
      <c r="E27" s="9">
        <f>IFERROR(VLOOKUP($B$7&amp;"_"&amp;$A27, Aerosol_BOM!$A:$O, 13, FALSE) * $B$8 / 1000, "")</f>
        <v>15.555555555555557</v>
      </c>
      <c r="F27" s="2" t="str">
        <f>IFERROR(VLOOKUP($B$7&amp;"_"&amp;$A27, Aerosol_BOM!$A:$O, 10, FALSE), "")</f>
        <v>kg</v>
      </c>
    </row>
    <row r="28" spans="1:6" x14ac:dyDescent="0.25">
      <c r="A28" s="4">
        <v>17</v>
      </c>
      <c r="B28" s="6" t="str">
        <f>IFERROR(VLOOKUP($B$7&amp;"_"&amp;$A28, Aerosol_BOM!$A:$O, 7, FALSE), "")</f>
        <v>Ink</v>
      </c>
      <c r="C28" s="2" t="str">
        <f>IFERROR(VLOOKUP($B$7&amp;"_"&amp;$A28, Aerosol_BOM!$A:$O, 9, FALSE), "")</f>
        <v>11067 UV INK PURPLE (168398) AEROSOL</v>
      </c>
      <c r="D28" s="6">
        <f>IFERROR(VLOOKUP($B$7&amp;"_"&amp;$A28, Aerosol_BOM!$A:$O, 8, FALSE), "")</f>
        <v>605</v>
      </c>
      <c r="E28" s="9">
        <f>IFERROR(VLOOKUP($B$7&amp;"_"&amp;$A28, Aerosol_BOM!$A:$O, 13, FALSE) * $B$8 / 1000, "")</f>
        <v>15.555555555555557</v>
      </c>
      <c r="F28" s="2" t="str">
        <f>IFERROR(VLOOKUP($B$7&amp;"_"&amp;$A28, Aerosol_BOM!$A:$O, 10, FALSE), "")</f>
        <v>kg</v>
      </c>
    </row>
    <row r="29" spans="1:6" x14ac:dyDescent="0.25">
      <c r="A29" s="4">
        <v>18</v>
      </c>
      <c r="B29" s="6" t="str">
        <f>IFERROR(VLOOKUP($B$7&amp;"_"&amp;$A29, Aerosol_BOM!$A:$O, 7, FALSE), "")</f>
        <v>Ink</v>
      </c>
      <c r="C29" s="2" t="str">
        <f>IFERROR(VLOOKUP($B$7&amp;"_"&amp;$A29, Aerosol_BOM!$A:$O, 9, FALSE), "")</f>
        <v>11068 UV INK VIOLET (168399) AEROSOL</v>
      </c>
      <c r="D29" s="6">
        <f>IFERROR(VLOOKUP($B$7&amp;"_"&amp;$A29, Aerosol_BOM!$A:$O, 8, FALSE), "")</f>
        <v>606</v>
      </c>
      <c r="E29" s="9">
        <f>IFERROR(VLOOKUP($B$7&amp;"_"&amp;$A29, Aerosol_BOM!$A:$O, 13, FALSE) * $B$8 / 1000, "")</f>
        <v>15.555555555555557</v>
      </c>
      <c r="F29" s="2" t="str">
        <f>IFERROR(VLOOKUP($B$7&amp;"_"&amp;$A29, Aerosol_BOM!$A:$O, 10, FALSE), "")</f>
        <v>kg</v>
      </c>
    </row>
    <row r="30" spans="1:6" x14ac:dyDescent="0.25">
      <c r="A30" s="4">
        <v>19</v>
      </c>
      <c r="B30" s="6" t="str">
        <f>IFERROR(VLOOKUP($B$7&amp;"_"&amp;$A30, Aerosol_BOM!$A:$O, 7, FALSE), "")</f>
        <v>Ink</v>
      </c>
      <c r="C30" s="2" t="str">
        <f>IFERROR(VLOOKUP($B$7&amp;"_"&amp;$A30, Aerosol_BOM!$A:$O, 9, FALSE), "")</f>
        <v>11074 UV INK RED 032 (156358/CF01) AEROSOL</v>
      </c>
      <c r="D30" s="6">
        <f>IFERROR(VLOOKUP($B$7&amp;"_"&amp;$A30, Aerosol_BOM!$A:$O, 8, FALSE), "")</f>
        <v>607</v>
      </c>
      <c r="E30" s="9">
        <f>IFERROR(VLOOKUP($B$7&amp;"_"&amp;$A30, Aerosol_BOM!$A:$O, 13, FALSE) * $B$8 / 1000, "")</f>
        <v>15.555555555555557</v>
      </c>
      <c r="F30" s="2" t="str">
        <f>IFERROR(VLOOKUP($B$7&amp;"_"&amp;$A30, Aerosol_BOM!$A:$O, 10, FALSE), "")</f>
        <v>kg</v>
      </c>
    </row>
    <row r="31" spans="1:6" x14ac:dyDescent="0.25">
      <c r="A31" s="4">
        <v>20</v>
      </c>
      <c r="B31" s="6" t="str">
        <f>IFERROR(VLOOKUP($B$7&amp;"_"&amp;$A31, Aerosol_BOM!$A:$O, 7, FALSE), "")</f>
        <v>Ink</v>
      </c>
      <c r="C31" s="2" t="str">
        <f>IFERROR(VLOOKUP($B$7&amp;"_"&amp;$A31, Aerosol_BOM!$A:$O, 9, FALSE), "")</f>
        <v>11073 UV INK CYAN (168400) AEROSOL</v>
      </c>
      <c r="D31" s="6">
        <f>IFERROR(VLOOKUP($B$7&amp;"_"&amp;$A31, Aerosol_BOM!$A:$O, 8, FALSE), "")</f>
        <v>608</v>
      </c>
      <c r="E31" s="9">
        <f>IFERROR(VLOOKUP($B$7&amp;"_"&amp;$A31, Aerosol_BOM!$A:$O, 13, FALSE) * $B$8 / 1000, "")</f>
        <v>15.555555555555557</v>
      </c>
      <c r="F31" s="2" t="str">
        <f>IFERROR(VLOOKUP($B$7&amp;"_"&amp;$A31, Aerosol_BOM!$A:$O, 10, FALSE), "")</f>
        <v>kg</v>
      </c>
    </row>
    <row r="32" spans="1:6" x14ac:dyDescent="0.25">
      <c r="A32" s="4">
        <v>21</v>
      </c>
      <c r="B32" s="6" t="str">
        <f>IFERROR(VLOOKUP($B$7&amp;"_"&amp;$A32, Aerosol_BOM!$A:$O, 7, FALSE), "")</f>
        <v>Ink</v>
      </c>
      <c r="C32" s="2" t="str">
        <f>IFERROR(VLOOKUP($B$7&amp;"_"&amp;$A32, Aerosol_BOM!$A:$O, 9, FALSE), "")</f>
        <v>11075 UV INK OPAQUE WHITE (400050) AEROSOL</v>
      </c>
      <c r="D32" s="6">
        <f>IFERROR(VLOOKUP($B$7&amp;"_"&amp;$A32, Aerosol_BOM!$A:$O, 8, FALSE), "")</f>
        <v>609</v>
      </c>
      <c r="E32" s="9">
        <f>IFERROR(VLOOKUP($B$7&amp;"_"&amp;$A32, Aerosol_BOM!$A:$O, 13, FALSE) * $B$8 / 1000, "")</f>
        <v>15.555555555555557</v>
      </c>
      <c r="F32" s="2" t="str">
        <f>IFERROR(VLOOKUP($B$7&amp;"_"&amp;$A32, Aerosol_BOM!$A:$O, 10, FALSE), "")</f>
        <v>kg</v>
      </c>
    </row>
    <row r="33" spans="1:6" x14ac:dyDescent="0.25">
      <c r="A33" s="4">
        <v>22</v>
      </c>
      <c r="B33" s="2" t="str">
        <f>IFERROR(VLOOKUP($B$7&amp;"_"&amp;$A33, Aerosol_BOM!$A:$O, 7, FALSE), "")</f>
        <v/>
      </c>
      <c r="C33" s="2" t="str">
        <f>IFERROR(VLOOKUP($B$7&amp;"_"&amp;$A33, Aerosol_BOM!$A:$O, 9, FALSE), "")</f>
        <v/>
      </c>
      <c r="D33" s="2" t="str">
        <f>IFERROR(VLOOKUP($B$7&amp;"_"&amp;$A33, Aerosol_BOM!$A:$O, 8, FALSE), "")</f>
        <v/>
      </c>
      <c r="E33" s="2" t="str">
        <f>IFERROR(VLOOKUP($B$7&amp;"_"&amp;$A33, Aerosol_BOM!$A:$O, 13, FALSE) * $B$8 / 1000, "")</f>
        <v/>
      </c>
      <c r="F33" s="2" t="str">
        <f>IFERROR(VLOOKUP($B$7&amp;"_"&amp;$A33, Aerosol_BOM!$A:$O, 10, FALSE), "")</f>
        <v/>
      </c>
    </row>
    <row r="34" spans="1:6" x14ac:dyDescent="0.25">
      <c r="A34" s="4">
        <v>23</v>
      </c>
      <c r="B34" s="2" t="str">
        <f>IFERROR(VLOOKUP($B$7&amp;"_"&amp;$A34, Aerosol_BOM!$A:$O, 7, FALSE), "")</f>
        <v/>
      </c>
      <c r="C34" s="2" t="str">
        <f>IFERROR(VLOOKUP($B$7&amp;"_"&amp;$A34, Aerosol_BOM!$A:$O, 9, FALSE), "")</f>
        <v/>
      </c>
      <c r="D34" s="2" t="str">
        <f>IFERROR(VLOOKUP($B$7&amp;"_"&amp;$A34, Aerosol_BOM!$A:$O, 8, FALSE), "")</f>
        <v/>
      </c>
      <c r="E34" s="2" t="str">
        <f>IFERROR(VLOOKUP($B$7&amp;"_"&amp;$A34, Aerosol_BOM!$A:$O, 13, FALSE) * $B$8 / 1000, "")</f>
        <v/>
      </c>
      <c r="F34" s="2" t="str">
        <f>IFERROR(VLOOKUP($B$7&amp;"_"&amp;$A34, Aerosol_BOM!$A:$O, 10, FALSE), "")</f>
        <v/>
      </c>
    </row>
    <row r="35" spans="1:6" x14ac:dyDescent="0.25">
      <c r="A35" s="4">
        <v>24</v>
      </c>
      <c r="B35" s="2" t="str">
        <f>IFERROR(VLOOKUP($B$7&amp;"_"&amp;$A35, Aerosol_BOM!$A:$O, 7, FALSE), "")</f>
        <v/>
      </c>
      <c r="C35" s="2" t="str">
        <f>IFERROR(VLOOKUP($B$7&amp;"_"&amp;$A35, Aerosol_BOM!$A:$O, 9, FALSE), "")</f>
        <v/>
      </c>
      <c r="D35" s="2" t="str">
        <f>IFERROR(VLOOKUP($B$7&amp;"_"&amp;$A35, Aerosol_BOM!$A:$O, 8, FALSE), "")</f>
        <v/>
      </c>
      <c r="E35" s="2" t="str">
        <f>IFERROR(VLOOKUP($B$7&amp;"_"&amp;$A35, Aerosol_BOM!$A:$O, 13, FALSE) * $B$8 / 1000, "")</f>
        <v/>
      </c>
      <c r="F35" s="2" t="str">
        <f>IFERROR(VLOOKUP($B$7&amp;"_"&amp;$A35, Aerosol_BOM!$A:$O, 10, FALSE), "")</f>
        <v/>
      </c>
    </row>
    <row r="36" spans="1:6" x14ac:dyDescent="0.25">
      <c r="A36" s="4">
        <v>25</v>
      </c>
      <c r="B36" s="2" t="str">
        <f>IFERROR(VLOOKUP($B$7&amp;"_"&amp;$A36, Aerosol_BOM!$A:$O, 7, FALSE), "")</f>
        <v/>
      </c>
      <c r="C36" s="2" t="str">
        <f>IFERROR(VLOOKUP($B$7&amp;"_"&amp;$A36, Aerosol_BOM!$A:$O, 9, FALSE), "")</f>
        <v/>
      </c>
      <c r="D36" s="2" t="str">
        <f>IFERROR(VLOOKUP($B$7&amp;"_"&amp;$A36, Aerosol_BOM!$A:$O, 8, FALSE), "")</f>
        <v/>
      </c>
      <c r="E36" s="2" t="str">
        <f>IFERROR(VLOOKUP($B$7&amp;"_"&amp;$A36, Aerosol_BOM!$A:$O, 13, FALSE) * $B$8 / 1000, "")</f>
        <v/>
      </c>
      <c r="F36" s="2" t="str">
        <f>IFERROR(VLOOKUP($B$7&amp;"_"&amp;$A36, Aerosol_BOM!$A:$O, 10, FALSE), "")</f>
        <v/>
      </c>
    </row>
    <row r="38" spans="1:6" ht="18.75" customHeight="1" x14ac:dyDescent="0.3">
      <c r="A38" s="11" t="s">
        <v>22</v>
      </c>
      <c r="B38" s="12"/>
      <c r="C38" s="12"/>
      <c r="D38" s="12"/>
      <c r="E38" s="12"/>
      <c r="F38" s="12"/>
    </row>
    <row r="39" spans="1:6" x14ac:dyDescent="0.25">
      <c r="A39" s="1" t="s">
        <v>23</v>
      </c>
      <c r="B39" s="2" t="str">
        <f>IFERROR(VLOOKUP($B$7, Products_DB!A:O, 4, FALSE), "")</f>
        <v>Necked-in</v>
      </c>
      <c r="C39" s="1" t="s">
        <v>24</v>
      </c>
      <c r="D39" s="2" t="str">
        <f>IFERROR(VLOOKUP($B$7, Products_DB!A:O, 5, FALSE), "")</f>
        <v>45mm</v>
      </c>
      <c r="E39" s="1" t="s">
        <v>25</v>
      </c>
      <c r="F39" s="2" t="str">
        <f>IFERROR(VLOOKUP($B$7, Products_DB!A:O, 6, FALSE), "")</f>
        <v>150mm</v>
      </c>
    </row>
    <row r="40" spans="1:6" x14ac:dyDescent="0.25">
      <c r="A40" s="1" t="s">
        <v>26</v>
      </c>
      <c r="B40" s="2" t="str">
        <f>IFERROR(VLOOKUP($B$7, Products_DB!A:O, 7, FALSE), "")</f>
        <v>1 inch</v>
      </c>
      <c r="C40" s="1" t="s">
        <v>27</v>
      </c>
      <c r="D40" s="2" t="str">
        <f>IFERROR(VLOOKUP($B$7, Products_DB!A:O, 8, FALSE), "")</f>
        <v>0.35mm</v>
      </c>
      <c r="E40" s="1" t="s">
        <v>28</v>
      </c>
      <c r="F40" s="2" t="str">
        <f>IFERROR(VLOOKUP($B$7, Products_DB!A:O, 9, FALSE), "")</f>
        <v>0.35mm</v>
      </c>
    </row>
    <row r="41" spans="1:6" x14ac:dyDescent="0.25">
      <c r="A41" s="1" t="s">
        <v>29</v>
      </c>
      <c r="B41" s="2" t="str">
        <f>IFERROR(VLOOKUP($B$7, Products_DB!A:O, 10, FALSE), "")</f>
        <v>Epoxy Gold</v>
      </c>
      <c r="C41" s="1" t="s">
        <v>30</v>
      </c>
      <c r="D41" s="2" t="str">
        <f>IFERROR(VLOOKUP($B$7, Products_DB!A:O, 11, FALSE), "")</f>
        <v>White</v>
      </c>
      <c r="E41" s="1" t="s">
        <v>31</v>
      </c>
      <c r="F41" s="2" t="str">
        <f>IFERROR(VLOOKUP($B$7, Products_DB!A:O, 12, FALSE), "")</f>
        <v>4 Colors</v>
      </c>
    </row>
    <row r="42" spans="1:6" x14ac:dyDescent="0.25">
      <c r="A42" s="1" t="s">
        <v>32</v>
      </c>
      <c r="B42" s="2" t="str">
        <f>IFERROR(VLOOKUP($B$7, Products_DB!A:O, 13, FALSE), "")</f>
        <v>Glossy</v>
      </c>
      <c r="C42" s="1" t="s">
        <v>33</v>
      </c>
      <c r="D42" s="2" t="str">
        <f>IFERROR(VLOOKUP($B$7, Products_DB!A:O, 14, FALSE), "")</f>
        <v>100 per Carton</v>
      </c>
      <c r="E42" s="1" t="s">
        <v>14</v>
      </c>
      <c r="F42" s="2">
        <f>F8</f>
        <v>0</v>
      </c>
    </row>
    <row r="44" spans="1:6" ht="18.75" customHeight="1" x14ac:dyDescent="0.3">
      <c r="A44" s="11" t="s">
        <v>34</v>
      </c>
      <c r="B44" s="12"/>
      <c r="C44" s="12"/>
      <c r="D44" s="12"/>
      <c r="E44" s="12"/>
      <c r="F44" s="12"/>
    </row>
    <row r="45" spans="1:6" x14ac:dyDescent="0.25">
      <c r="A45" s="3" t="s">
        <v>35</v>
      </c>
      <c r="B45" s="10" t="s">
        <v>36</v>
      </c>
      <c r="C45" s="3" t="s">
        <v>37</v>
      </c>
      <c r="D45" s="23" t="s">
        <v>38</v>
      </c>
      <c r="E45" s="24"/>
      <c r="F45" s="25"/>
    </row>
    <row r="46" spans="1:6" x14ac:dyDescent="0.25">
      <c r="A46" s="26"/>
      <c r="B46" s="22"/>
      <c r="C46" s="26"/>
      <c r="D46" s="13"/>
      <c r="E46" s="14"/>
      <c r="F46" s="15"/>
    </row>
    <row r="47" spans="1:6" x14ac:dyDescent="0.25">
      <c r="A47" s="27"/>
      <c r="B47" s="16"/>
      <c r="C47" s="27"/>
      <c r="D47" s="16"/>
      <c r="E47" s="12"/>
      <c r="F47" s="17"/>
    </row>
    <row r="48" spans="1:6" x14ac:dyDescent="0.25">
      <c r="A48" s="28"/>
      <c r="B48" s="18"/>
      <c r="C48" s="28"/>
      <c r="D48" s="18"/>
      <c r="E48" s="19"/>
      <c r="F48" s="20"/>
    </row>
  </sheetData>
  <mergeCells count="10">
    <mergeCell ref="A38:F38"/>
    <mergeCell ref="D46:F48"/>
    <mergeCell ref="A10:F10"/>
    <mergeCell ref="B1:D2"/>
    <mergeCell ref="A44:F44"/>
    <mergeCell ref="A5:F5"/>
    <mergeCell ref="B46:B48"/>
    <mergeCell ref="D45:F45"/>
    <mergeCell ref="A46:A48"/>
    <mergeCell ref="C46:C48"/>
  </mergeCells>
  <pageMargins left="0.75" right="0.75" top="1" bottom="1" header="0.5" footer="0.5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000-000000000000}">
          <x14:formula1>
            <xm:f>Products_DB!$A$2:$A$4</xm:f>
          </x14:formula1>
          <xm:sqref>B7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64"/>
  <sheetViews>
    <sheetView workbookViewId="0"/>
  </sheetViews>
  <sheetFormatPr defaultRowHeight="15" x14ac:dyDescent="0.25"/>
  <sheetData>
    <row r="1" spans="1:15" x14ac:dyDescent="0.25">
      <c r="A1" s="5" t="s">
        <v>39</v>
      </c>
      <c r="B1" s="5" t="s">
        <v>40</v>
      </c>
      <c r="C1" s="5" t="s">
        <v>41</v>
      </c>
      <c r="D1" s="5" t="s">
        <v>7</v>
      </c>
      <c r="E1" s="5" t="s">
        <v>8</v>
      </c>
      <c r="F1" s="5" t="s">
        <v>42</v>
      </c>
      <c r="G1" s="5" t="s">
        <v>43</v>
      </c>
      <c r="H1" s="5" t="s">
        <v>44</v>
      </c>
      <c r="I1" s="5" t="s">
        <v>18</v>
      </c>
      <c r="J1" s="5" t="s">
        <v>45</v>
      </c>
      <c r="K1" s="5" t="s">
        <v>46</v>
      </c>
      <c r="L1" s="5" t="s">
        <v>47</v>
      </c>
      <c r="M1" s="5" t="s">
        <v>48</v>
      </c>
      <c r="N1" s="5" t="s">
        <v>49</v>
      </c>
      <c r="O1" s="5" t="s">
        <v>50</v>
      </c>
    </row>
    <row r="2" spans="1:15" x14ac:dyDescent="0.25">
      <c r="A2" t="str">
        <f>E2&amp;"_"&amp;COUNTIF($E$2:E2, E2)</f>
        <v>Aerosol Can 45mm_1</v>
      </c>
      <c r="B2">
        <v>9001</v>
      </c>
      <c r="C2">
        <v>100</v>
      </c>
      <c r="D2" t="s">
        <v>51</v>
      </c>
      <c r="E2" t="s">
        <v>9</v>
      </c>
      <c r="F2">
        <v>45</v>
      </c>
      <c r="G2" t="s">
        <v>52</v>
      </c>
      <c r="H2">
        <v>501</v>
      </c>
      <c r="I2" t="s">
        <v>53</v>
      </c>
      <c r="J2" t="s">
        <v>54</v>
      </c>
      <c r="K2">
        <v>20</v>
      </c>
      <c r="L2">
        <v>0.1</v>
      </c>
      <c r="M2">
        <f t="shared" ref="M2:M33" si="0">K2/(1-L2)</f>
        <v>22.222222222222221</v>
      </c>
      <c r="O2" t="s">
        <v>55</v>
      </c>
    </row>
    <row r="3" spans="1:15" x14ac:dyDescent="0.25">
      <c r="A3" t="str">
        <f>E3&amp;"_"&amp;COUNTIF($E$2:E3, E3)</f>
        <v>Aerosol Can 45mm_2</v>
      </c>
      <c r="B3">
        <v>9001</v>
      </c>
      <c r="C3">
        <v>100</v>
      </c>
      <c r="D3" t="s">
        <v>51</v>
      </c>
      <c r="E3" t="s">
        <v>9</v>
      </c>
      <c r="F3">
        <v>45</v>
      </c>
      <c r="G3" t="s">
        <v>56</v>
      </c>
      <c r="H3">
        <v>502</v>
      </c>
      <c r="I3" t="s">
        <v>57</v>
      </c>
      <c r="J3" t="s">
        <v>54</v>
      </c>
      <c r="K3">
        <v>2.1000000000000001E-2</v>
      </c>
      <c r="L3">
        <v>0.1</v>
      </c>
      <c r="M3">
        <f t="shared" si="0"/>
        <v>2.3333333333333334E-2</v>
      </c>
      <c r="N3" t="s">
        <v>58</v>
      </c>
      <c r="O3" t="s">
        <v>58</v>
      </c>
    </row>
    <row r="4" spans="1:15" x14ac:dyDescent="0.25">
      <c r="A4" t="str">
        <f>E4&amp;"_"&amp;COUNTIF($E$2:E4, E4)</f>
        <v>Aerosol Can 45mm_3</v>
      </c>
      <c r="B4">
        <v>9001</v>
      </c>
      <c r="C4">
        <v>100</v>
      </c>
      <c r="D4" t="s">
        <v>51</v>
      </c>
      <c r="E4" t="s">
        <v>9</v>
      </c>
      <c r="F4">
        <v>45</v>
      </c>
      <c r="G4" t="s">
        <v>59</v>
      </c>
      <c r="H4">
        <v>503</v>
      </c>
      <c r="I4" t="s">
        <v>60</v>
      </c>
      <c r="J4" t="s">
        <v>54</v>
      </c>
      <c r="K4">
        <v>5</v>
      </c>
      <c r="L4">
        <v>0.1</v>
      </c>
      <c r="M4">
        <f t="shared" si="0"/>
        <v>5.5555555555555554</v>
      </c>
      <c r="N4" t="s">
        <v>61</v>
      </c>
      <c r="O4" t="s">
        <v>61</v>
      </c>
    </row>
    <row r="5" spans="1:15" x14ac:dyDescent="0.25">
      <c r="A5" t="str">
        <f>E5&amp;"_"&amp;COUNTIF($E$2:E5, E5)</f>
        <v>Aerosol Can 45mm_4</v>
      </c>
      <c r="B5">
        <v>9001</v>
      </c>
      <c r="C5">
        <v>100</v>
      </c>
      <c r="D5" t="s">
        <v>51</v>
      </c>
      <c r="E5" t="s">
        <v>9</v>
      </c>
      <c r="F5">
        <v>45</v>
      </c>
      <c r="G5" t="s">
        <v>62</v>
      </c>
      <c r="H5">
        <v>504</v>
      </c>
      <c r="I5" t="s">
        <v>63</v>
      </c>
      <c r="J5" t="s">
        <v>54</v>
      </c>
      <c r="K5">
        <v>1.0449999999999999</v>
      </c>
      <c r="L5">
        <v>0.35</v>
      </c>
      <c r="M5">
        <f t="shared" si="0"/>
        <v>1.6076923076923075</v>
      </c>
      <c r="N5" t="s">
        <v>64</v>
      </c>
      <c r="O5" t="s">
        <v>64</v>
      </c>
    </row>
    <row r="6" spans="1:15" x14ac:dyDescent="0.25">
      <c r="A6" t="str">
        <f>E6&amp;"_"&amp;COUNTIF($E$2:E6, E6)</f>
        <v>Aerosol Can 45mm_5</v>
      </c>
      <c r="B6">
        <v>9001</v>
      </c>
      <c r="C6">
        <v>100</v>
      </c>
      <c r="D6" t="s">
        <v>51</v>
      </c>
      <c r="E6" t="s">
        <v>9</v>
      </c>
      <c r="F6">
        <v>45</v>
      </c>
      <c r="G6" t="s">
        <v>62</v>
      </c>
      <c r="H6">
        <v>505</v>
      </c>
      <c r="I6" t="s">
        <v>65</v>
      </c>
      <c r="J6" t="s">
        <v>54</v>
      </c>
      <c r="K6">
        <v>1.1399999999999999</v>
      </c>
      <c r="L6">
        <v>0.35</v>
      </c>
      <c r="M6">
        <f t="shared" si="0"/>
        <v>1.7538461538461536</v>
      </c>
      <c r="N6" t="s">
        <v>66</v>
      </c>
      <c r="O6" t="s">
        <v>66</v>
      </c>
    </row>
    <row r="7" spans="1:15" x14ac:dyDescent="0.25">
      <c r="A7" t="str">
        <f>E7&amp;"_"&amp;COUNTIF($E$2:E7, E7)</f>
        <v>Aerosol Can 45mm_6</v>
      </c>
      <c r="B7">
        <v>9001</v>
      </c>
      <c r="C7">
        <v>100</v>
      </c>
      <c r="D7" t="s">
        <v>51</v>
      </c>
      <c r="E7" t="s">
        <v>9</v>
      </c>
      <c r="F7">
        <v>45</v>
      </c>
      <c r="G7" t="s">
        <v>67</v>
      </c>
      <c r="H7">
        <v>506</v>
      </c>
      <c r="I7" t="s">
        <v>68</v>
      </c>
      <c r="J7" t="s">
        <v>54</v>
      </c>
      <c r="K7">
        <v>0.97299999999999998</v>
      </c>
      <c r="L7">
        <v>0.1</v>
      </c>
      <c r="M7">
        <f t="shared" si="0"/>
        <v>1.0811111111111111</v>
      </c>
      <c r="N7" t="s">
        <v>69</v>
      </c>
      <c r="O7" t="s">
        <v>69</v>
      </c>
    </row>
    <row r="8" spans="1:15" x14ac:dyDescent="0.25">
      <c r="A8" t="str">
        <f>E8&amp;"_"&amp;COUNTIF($E$2:E8, E8)</f>
        <v>Aerosol Can 45mm_7</v>
      </c>
      <c r="B8">
        <v>9001</v>
      </c>
      <c r="C8">
        <v>100</v>
      </c>
      <c r="D8" t="s">
        <v>51</v>
      </c>
      <c r="E8" t="s">
        <v>9</v>
      </c>
      <c r="F8">
        <v>45</v>
      </c>
      <c r="G8" t="s">
        <v>67</v>
      </c>
      <c r="H8">
        <v>507</v>
      </c>
      <c r="I8" t="s">
        <v>70</v>
      </c>
      <c r="J8" t="s">
        <v>54</v>
      </c>
      <c r="K8">
        <v>0.70099999999999996</v>
      </c>
      <c r="L8">
        <v>0.1</v>
      </c>
      <c r="M8">
        <f t="shared" si="0"/>
        <v>0.77888888888888885</v>
      </c>
      <c r="N8" t="s">
        <v>71</v>
      </c>
      <c r="O8" t="s">
        <v>71</v>
      </c>
    </row>
    <row r="9" spans="1:15" x14ac:dyDescent="0.25">
      <c r="A9" t="str">
        <f>E9&amp;"_"&amp;COUNTIF($E$2:E9, E9)</f>
        <v>Aerosol Can 45mm_8</v>
      </c>
      <c r="B9">
        <v>9001</v>
      </c>
      <c r="C9">
        <v>100</v>
      </c>
      <c r="D9" t="s">
        <v>51</v>
      </c>
      <c r="E9" t="s">
        <v>9</v>
      </c>
      <c r="F9">
        <v>45</v>
      </c>
      <c r="G9" t="s">
        <v>72</v>
      </c>
      <c r="H9">
        <v>508</v>
      </c>
      <c r="I9" t="s">
        <v>73</v>
      </c>
      <c r="J9" t="s">
        <v>54</v>
      </c>
      <c r="K9">
        <v>0.43</v>
      </c>
      <c r="L9">
        <v>0.1</v>
      </c>
      <c r="M9">
        <f t="shared" si="0"/>
        <v>0.47777777777777775</v>
      </c>
      <c r="N9" t="s">
        <v>74</v>
      </c>
      <c r="O9" t="s">
        <v>74</v>
      </c>
    </row>
    <row r="10" spans="1:15" x14ac:dyDescent="0.25">
      <c r="A10" t="str">
        <f>E10&amp;"_"&amp;COUNTIF($E$2:E10, E10)</f>
        <v>Aerosol Can 45mm_9</v>
      </c>
      <c r="B10">
        <v>9001</v>
      </c>
      <c r="C10">
        <v>100</v>
      </c>
      <c r="D10" t="s">
        <v>51</v>
      </c>
      <c r="E10" t="s">
        <v>9</v>
      </c>
      <c r="F10">
        <v>45</v>
      </c>
      <c r="G10" t="s">
        <v>72</v>
      </c>
      <c r="H10">
        <v>509</v>
      </c>
      <c r="I10" t="s">
        <v>75</v>
      </c>
      <c r="J10" t="s">
        <v>54</v>
      </c>
      <c r="K10">
        <v>0.38500000000000001</v>
      </c>
      <c r="L10">
        <v>0.1</v>
      </c>
      <c r="M10">
        <f t="shared" si="0"/>
        <v>0.42777777777777776</v>
      </c>
      <c r="N10" t="s">
        <v>76</v>
      </c>
      <c r="O10" t="s">
        <v>76</v>
      </c>
    </row>
    <row r="11" spans="1:15" x14ac:dyDescent="0.25">
      <c r="A11" t="str">
        <f>E11&amp;"_"&amp;COUNTIF($E$2:E11, E11)</f>
        <v>Aerosol Can 45mm_10</v>
      </c>
      <c r="B11">
        <v>9001</v>
      </c>
      <c r="C11">
        <v>100</v>
      </c>
      <c r="D11" t="s">
        <v>51</v>
      </c>
      <c r="E11" t="s">
        <v>9</v>
      </c>
      <c r="F11">
        <v>45</v>
      </c>
      <c r="G11" t="s">
        <v>77</v>
      </c>
      <c r="H11">
        <v>510</v>
      </c>
      <c r="I11" t="s">
        <v>78</v>
      </c>
      <c r="J11" t="s">
        <v>54</v>
      </c>
      <c r="K11">
        <v>0.28000000000000003</v>
      </c>
      <c r="L11">
        <v>0.1</v>
      </c>
      <c r="M11">
        <f t="shared" si="0"/>
        <v>0.31111111111111112</v>
      </c>
      <c r="N11" t="s">
        <v>79</v>
      </c>
      <c r="O11" t="s">
        <v>80</v>
      </c>
    </row>
    <row r="12" spans="1:15" x14ac:dyDescent="0.25">
      <c r="A12" t="str">
        <f>E12&amp;"_"&amp;COUNTIF($E$2:E12, E12)</f>
        <v>Aerosol Can 45mm_11</v>
      </c>
      <c r="B12">
        <v>9001</v>
      </c>
      <c r="C12">
        <v>100</v>
      </c>
      <c r="D12" t="s">
        <v>51</v>
      </c>
      <c r="E12" t="s">
        <v>9</v>
      </c>
      <c r="F12">
        <v>45</v>
      </c>
      <c r="G12" t="s">
        <v>77</v>
      </c>
      <c r="H12">
        <v>599</v>
      </c>
      <c r="I12" t="s">
        <v>81</v>
      </c>
      <c r="J12" t="s">
        <v>54</v>
      </c>
      <c r="K12">
        <v>0.28000000000000003</v>
      </c>
      <c r="L12">
        <v>0.1</v>
      </c>
      <c r="M12">
        <f t="shared" si="0"/>
        <v>0.31111111111111112</v>
      </c>
      <c r="N12" t="s">
        <v>79</v>
      </c>
      <c r="O12" t="s">
        <v>80</v>
      </c>
    </row>
    <row r="13" spans="1:15" x14ac:dyDescent="0.25">
      <c r="A13" t="str">
        <f>E13&amp;"_"&amp;COUNTIF($E$2:E13, E13)</f>
        <v>Aerosol Can 45mm_12</v>
      </c>
      <c r="B13">
        <v>9001</v>
      </c>
      <c r="C13">
        <v>100</v>
      </c>
      <c r="D13" t="s">
        <v>51</v>
      </c>
      <c r="E13" t="s">
        <v>9</v>
      </c>
      <c r="F13">
        <v>45</v>
      </c>
      <c r="G13" t="s">
        <v>77</v>
      </c>
      <c r="H13">
        <v>600</v>
      </c>
      <c r="I13" t="s">
        <v>82</v>
      </c>
      <c r="J13" t="s">
        <v>54</v>
      </c>
      <c r="K13">
        <v>0.28000000000000003</v>
      </c>
      <c r="L13">
        <v>0.1</v>
      </c>
      <c r="M13">
        <f t="shared" si="0"/>
        <v>0.31111111111111112</v>
      </c>
      <c r="N13" t="s">
        <v>79</v>
      </c>
      <c r="O13" t="s">
        <v>80</v>
      </c>
    </row>
    <row r="14" spans="1:15" x14ac:dyDescent="0.25">
      <c r="A14" t="str">
        <f>E14&amp;"_"&amp;COUNTIF($E$2:E14, E14)</f>
        <v>Aerosol Can 45mm_13</v>
      </c>
      <c r="B14">
        <v>9001</v>
      </c>
      <c r="C14">
        <v>100</v>
      </c>
      <c r="D14" t="s">
        <v>51</v>
      </c>
      <c r="E14" t="s">
        <v>9</v>
      </c>
      <c r="F14">
        <v>45</v>
      </c>
      <c r="G14" t="s">
        <v>77</v>
      </c>
      <c r="H14">
        <v>601</v>
      </c>
      <c r="I14" t="s">
        <v>83</v>
      </c>
      <c r="J14" t="s">
        <v>54</v>
      </c>
      <c r="K14">
        <v>0.28000000000000003</v>
      </c>
      <c r="L14">
        <v>0.1</v>
      </c>
      <c r="M14">
        <f t="shared" si="0"/>
        <v>0.31111111111111112</v>
      </c>
      <c r="N14" t="s">
        <v>79</v>
      </c>
      <c r="O14" t="s">
        <v>80</v>
      </c>
    </row>
    <row r="15" spans="1:15" x14ac:dyDescent="0.25">
      <c r="A15" t="str">
        <f>E15&amp;"_"&amp;COUNTIF($E$2:E15, E15)</f>
        <v>Aerosol Can 45mm_14</v>
      </c>
      <c r="B15">
        <v>9001</v>
      </c>
      <c r="C15">
        <v>100</v>
      </c>
      <c r="D15" t="s">
        <v>51</v>
      </c>
      <c r="E15" t="s">
        <v>9</v>
      </c>
      <c r="F15">
        <v>45</v>
      </c>
      <c r="G15" t="s">
        <v>77</v>
      </c>
      <c r="H15">
        <v>602</v>
      </c>
      <c r="I15" t="s">
        <v>84</v>
      </c>
      <c r="J15" t="s">
        <v>54</v>
      </c>
      <c r="K15">
        <v>0.28000000000000003</v>
      </c>
      <c r="L15">
        <v>0.1</v>
      </c>
      <c r="M15">
        <f t="shared" si="0"/>
        <v>0.31111111111111112</v>
      </c>
      <c r="N15" t="s">
        <v>79</v>
      </c>
      <c r="O15" t="s">
        <v>80</v>
      </c>
    </row>
    <row r="16" spans="1:15" x14ac:dyDescent="0.25">
      <c r="A16" t="str">
        <f>E16&amp;"_"&amp;COUNTIF($E$2:E16, E16)</f>
        <v>Aerosol Can 45mm_15</v>
      </c>
      <c r="B16">
        <v>9001</v>
      </c>
      <c r="C16">
        <v>100</v>
      </c>
      <c r="D16" t="s">
        <v>51</v>
      </c>
      <c r="E16" t="s">
        <v>9</v>
      </c>
      <c r="F16">
        <v>45</v>
      </c>
      <c r="G16" t="s">
        <v>77</v>
      </c>
      <c r="H16">
        <v>603</v>
      </c>
      <c r="I16" t="s">
        <v>85</v>
      </c>
      <c r="J16" t="s">
        <v>54</v>
      </c>
      <c r="K16">
        <v>0.28000000000000003</v>
      </c>
      <c r="L16">
        <v>0.1</v>
      </c>
      <c r="M16">
        <f t="shared" si="0"/>
        <v>0.31111111111111112</v>
      </c>
      <c r="N16" t="s">
        <v>79</v>
      </c>
      <c r="O16" t="s">
        <v>80</v>
      </c>
    </row>
    <row r="17" spans="1:15" x14ac:dyDescent="0.25">
      <c r="A17" t="str">
        <f>E17&amp;"_"&amp;COUNTIF($E$2:E17, E17)</f>
        <v>Aerosol Can 45mm_16</v>
      </c>
      <c r="B17">
        <v>9001</v>
      </c>
      <c r="C17">
        <v>100</v>
      </c>
      <c r="D17" t="s">
        <v>51</v>
      </c>
      <c r="E17" t="s">
        <v>9</v>
      </c>
      <c r="F17">
        <v>45</v>
      </c>
      <c r="G17" t="s">
        <v>77</v>
      </c>
      <c r="H17">
        <v>604</v>
      </c>
      <c r="I17" t="s">
        <v>86</v>
      </c>
      <c r="J17" t="s">
        <v>54</v>
      </c>
      <c r="K17">
        <v>0.28000000000000003</v>
      </c>
      <c r="L17">
        <v>0.1</v>
      </c>
      <c r="M17">
        <f t="shared" si="0"/>
        <v>0.31111111111111112</v>
      </c>
      <c r="N17" t="s">
        <v>79</v>
      </c>
      <c r="O17" t="s">
        <v>80</v>
      </c>
    </row>
    <row r="18" spans="1:15" x14ac:dyDescent="0.25">
      <c r="A18" t="str">
        <f>E18&amp;"_"&amp;COUNTIF($E$2:E18, E18)</f>
        <v>Aerosol Can 45mm_17</v>
      </c>
      <c r="B18">
        <v>9001</v>
      </c>
      <c r="C18">
        <v>100</v>
      </c>
      <c r="D18" t="s">
        <v>51</v>
      </c>
      <c r="E18" t="s">
        <v>9</v>
      </c>
      <c r="F18">
        <v>45</v>
      </c>
      <c r="G18" t="s">
        <v>77</v>
      </c>
      <c r="H18">
        <v>605</v>
      </c>
      <c r="I18" t="s">
        <v>87</v>
      </c>
      <c r="J18" t="s">
        <v>54</v>
      </c>
      <c r="K18">
        <v>0.28000000000000003</v>
      </c>
      <c r="L18">
        <v>0.1</v>
      </c>
      <c r="M18">
        <f t="shared" si="0"/>
        <v>0.31111111111111112</v>
      </c>
      <c r="N18" t="s">
        <v>79</v>
      </c>
      <c r="O18" t="s">
        <v>80</v>
      </c>
    </row>
    <row r="19" spans="1:15" x14ac:dyDescent="0.25">
      <c r="A19" t="str">
        <f>E19&amp;"_"&amp;COUNTIF($E$2:E19, E19)</f>
        <v>Aerosol Can 45mm_18</v>
      </c>
      <c r="B19">
        <v>9001</v>
      </c>
      <c r="C19">
        <v>100</v>
      </c>
      <c r="D19" t="s">
        <v>51</v>
      </c>
      <c r="E19" t="s">
        <v>9</v>
      </c>
      <c r="F19">
        <v>45</v>
      </c>
      <c r="G19" t="s">
        <v>77</v>
      </c>
      <c r="H19">
        <v>606</v>
      </c>
      <c r="I19" t="s">
        <v>88</v>
      </c>
      <c r="J19" t="s">
        <v>54</v>
      </c>
      <c r="K19">
        <v>0.28000000000000003</v>
      </c>
      <c r="L19">
        <v>0.1</v>
      </c>
      <c r="M19">
        <f t="shared" si="0"/>
        <v>0.31111111111111112</v>
      </c>
      <c r="N19" t="s">
        <v>79</v>
      </c>
      <c r="O19" t="s">
        <v>80</v>
      </c>
    </row>
    <row r="20" spans="1:15" x14ac:dyDescent="0.25">
      <c r="A20" t="str">
        <f>E20&amp;"_"&amp;COUNTIF($E$2:E20, E20)</f>
        <v>Aerosol Can 45mm_19</v>
      </c>
      <c r="B20">
        <v>9001</v>
      </c>
      <c r="C20">
        <v>100</v>
      </c>
      <c r="D20" t="s">
        <v>51</v>
      </c>
      <c r="E20" t="s">
        <v>9</v>
      </c>
      <c r="F20">
        <v>45</v>
      </c>
      <c r="G20" t="s">
        <v>77</v>
      </c>
      <c r="H20">
        <v>607</v>
      </c>
      <c r="I20" t="s">
        <v>89</v>
      </c>
      <c r="J20" t="s">
        <v>54</v>
      </c>
      <c r="K20">
        <v>0.28000000000000003</v>
      </c>
      <c r="L20">
        <v>0.1</v>
      </c>
      <c r="M20">
        <f t="shared" si="0"/>
        <v>0.31111111111111112</v>
      </c>
      <c r="N20" t="s">
        <v>79</v>
      </c>
      <c r="O20" t="s">
        <v>80</v>
      </c>
    </row>
    <row r="21" spans="1:15" x14ac:dyDescent="0.25">
      <c r="A21" t="str">
        <f>E21&amp;"_"&amp;COUNTIF($E$2:E21, E21)</f>
        <v>Aerosol Can 45mm_20</v>
      </c>
      <c r="B21">
        <v>9001</v>
      </c>
      <c r="C21">
        <v>100</v>
      </c>
      <c r="D21" t="s">
        <v>51</v>
      </c>
      <c r="E21" t="s">
        <v>9</v>
      </c>
      <c r="F21">
        <v>45</v>
      </c>
      <c r="G21" t="s">
        <v>77</v>
      </c>
      <c r="H21">
        <v>608</v>
      </c>
      <c r="I21" t="s">
        <v>90</v>
      </c>
      <c r="J21" t="s">
        <v>54</v>
      </c>
      <c r="K21">
        <v>0.28000000000000003</v>
      </c>
      <c r="L21">
        <v>0.1</v>
      </c>
      <c r="M21">
        <f t="shared" si="0"/>
        <v>0.31111111111111112</v>
      </c>
      <c r="N21" t="s">
        <v>79</v>
      </c>
      <c r="O21" t="s">
        <v>80</v>
      </c>
    </row>
    <row r="22" spans="1:15" x14ac:dyDescent="0.25">
      <c r="A22" t="str">
        <f>E22&amp;"_"&amp;COUNTIF($E$2:E22, E22)</f>
        <v>Aerosol Can 45mm_21</v>
      </c>
      <c r="B22">
        <v>9001</v>
      </c>
      <c r="C22">
        <v>100</v>
      </c>
      <c r="D22" t="s">
        <v>51</v>
      </c>
      <c r="E22" t="s">
        <v>9</v>
      </c>
      <c r="F22">
        <v>45</v>
      </c>
      <c r="G22" t="s">
        <v>77</v>
      </c>
      <c r="H22">
        <v>609</v>
      </c>
      <c r="I22" t="s">
        <v>91</v>
      </c>
      <c r="J22" t="s">
        <v>54</v>
      </c>
      <c r="K22">
        <v>0.28000000000000003</v>
      </c>
      <c r="L22">
        <v>0.1</v>
      </c>
      <c r="M22">
        <f t="shared" si="0"/>
        <v>0.31111111111111112</v>
      </c>
      <c r="N22" t="s">
        <v>79</v>
      </c>
      <c r="O22" t="s">
        <v>80</v>
      </c>
    </row>
    <row r="23" spans="1:15" x14ac:dyDescent="0.25">
      <c r="A23" t="str">
        <f>E23&amp;"_"&amp;COUNTIF($E$2:E23, E23)</f>
        <v>Aerosol Can 45x150mm_1</v>
      </c>
      <c r="B23">
        <v>9001</v>
      </c>
      <c r="C23">
        <v>100</v>
      </c>
      <c r="D23" t="s">
        <v>51</v>
      </c>
      <c r="E23" t="s">
        <v>92</v>
      </c>
      <c r="F23">
        <v>45</v>
      </c>
      <c r="G23" t="s">
        <v>52</v>
      </c>
      <c r="H23">
        <v>501</v>
      </c>
      <c r="I23" t="s">
        <v>53</v>
      </c>
      <c r="J23" t="s">
        <v>54</v>
      </c>
      <c r="K23">
        <v>20</v>
      </c>
      <c r="L23">
        <v>0.1</v>
      </c>
      <c r="M23">
        <f t="shared" si="0"/>
        <v>22.222222222222221</v>
      </c>
      <c r="O23" t="s">
        <v>55</v>
      </c>
    </row>
    <row r="24" spans="1:15" x14ac:dyDescent="0.25">
      <c r="A24" t="str">
        <f>E24&amp;"_"&amp;COUNTIF($E$2:E24, E24)</f>
        <v>Aerosol Can 45x150mm_2</v>
      </c>
      <c r="B24">
        <v>9001</v>
      </c>
      <c r="C24">
        <v>100</v>
      </c>
      <c r="D24" t="s">
        <v>51</v>
      </c>
      <c r="E24" t="s">
        <v>92</v>
      </c>
      <c r="F24">
        <v>45</v>
      </c>
      <c r="G24" t="s">
        <v>56</v>
      </c>
      <c r="H24">
        <v>502</v>
      </c>
      <c r="I24" t="s">
        <v>57</v>
      </c>
      <c r="J24" t="s">
        <v>54</v>
      </c>
      <c r="K24">
        <v>2.1000000000000001E-2</v>
      </c>
      <c r="L24">
        <v>0.1</v>
      </c>
      <c r="M24">
        <f t="shared" si="0"/>
        <v>2.3333333333333334E-2</v>
      </c>
      <c r="N24" t="s">
        <v>58</v>
      </c>
      <c r="O24" t="s">
        <v>58</v>
      </c>
    </row>
    <row r="25" spans="1:15" x14ac:dyDescent="0.25">
      <c r="A25" t="str">
        <f>E25&amp;"_"&amp;COUNTIF($E$2:E25, E25)</f>
        <v>Aerosol Can 45x150mm_3</v>
      </c>
      <c r="B25">
        <v>9001</v>
      </c>
      <c r="C25">
        <v>100</v>
      </c>
      <c r="D25" t="s">
        <v>51</v>
      </c>
      <c r="E25" t="s">
        <v>92</v>
      </c>
      <c r="F25">
        <v>45</v>
      </c>
      <c r="G25" t="s">
        <v>59</v>
      </c>
      <c r="H25">
        <v>503</v>
      </c>
      <c r="I25" t="s">
        <v>60</v>
      </c>
      <c r="J25" t="s">
        <v>54</v>
      </c>
      <c r="K25">
        <v>5</v>
      </c>
      <c r="L25">
        <v>0.1</v>
      </c>
      <c r="M25">
        <f t="shared" si="0"/>
        <v>5.5555555555555554</v>
      </c>
      <c r="N25" t="s">
        <v>61</v>
      </c>
      <c r="O25" t="s">
        <v>61</v>
      </c>
    </row>
    <row r="26" spans="1:15" x14ac:dyDescent="0.25">
      <c r="A26" t="str">
        <f>E26&amp;"_"&amp;COUNTIF($E$2:E26, E26)</f>
        <v>Aerosol Can 45x150mm_4</v>
      </c>
      <c r="B26">
        <v>9001</v>
      </c>
      <c r="C26">
        <v>100</v>
      </c>
      <c r="D26" t="s">
        <v>51</v>
      </c>
      <c r="E26" t="s">
        <v>92</v>
      </c>
      <c r="F26">
        <v>45</v>
      </c>
      <c r="G26" t="s">
        <v>62</v>
      </c>
      <c r="H26">
        <v>504</v>
      </c>
      <c r="I26" t="s">
        <v>63</v>
      </c>
      <c r="J26" t="s">
        <v>54</v>
      </c>
      <c r="K26">
        <v>1.0449999999999999</v>
      </c>
      <c r="L26">
        <v>0.35</v>
      </c>
      <c r="M26">
        <f t="shared" si="0"/>
        <v>1.6076923076923075</v>
      </c>
      <c r="N26" t="s">
        <v>64</v>
      </c>
      <c r="O26" t="s">
        <v>64</v>
      </c>
    </row>
    <row r="27" spans="1:15" x14ac:dyDescent="0.25">
      <c r="A27" t="str">
        <f>E27&amp;"_"&amp;COUNTIF($E$2:E27, E27)</f>
        <v>Aerosol Can 45x150mm_5</v>
      </c>
      <c r="B27">
        <v>9001</v>
      </c>
      <c r="C27">
        <v>100</v>
      </c>
      <c r="D27" t="s">
        <v>51</v>
      </c>
      <c r="E27" t="s">
        <v>92</v>
      </c>
      <c r="F27">
        <v>45</v>
      </c>
      <c r="G27" t="s">
        <v>62</v>
      </c>
      <c r="H27">
        <v>505</v>
      </c>
      <c r="I27" t="s">
        <v>65</v>
      </c>
      <c r="J27" t="s">
        <v>54</v>
      </c>
      <c r="K27">
        <v>1.1399999999999999</v>
      </c>
      <c r="L27">
        <v>0.35</v>
      </c>
      <c r="M27">
        <f t="shared" si="0"/>
        <v>1.7538461538461536</v>
      </c>
      <c r="N27" t="s">
        <v>66</v>
      </c>
      <c r="O27" t="s">
        <v>66</v>
      </c>
    </row>
    <row r="28" spans="1:15" x14ac:dyDescent="0.25">
      <c r="A28" t="str">
        <f>E28&amp;"_"&amp;COUNTIF($E$2:E28, E28)</f>
        <v>Aerosol Can 45x150mm_6</v>
      </c>
      <c r="B28">
        <v>9001</v>
      </c>
      <c r="C28">
        <v>100</v>
      </c>
      <c r="D28" t="s">
        <v>51</v>
      </c>
      <c r="E28" t="s">
        <v>92</v>
      </c>
      <c r="F28">
        <v>45</v>
      </c>
      <c r="G28" t="s">
        <v>67</v>
      </c>
      <c r="H28">
        <v>506</v>
      </c>
      <c r="I28" t="s">
        <v>68</v>
      </c>
      <c r="J28" t="s">
        <v>54</v>
      </c>
      <c r="K28">
        <v>0.97299999999999998</v>
      </c>
      <c r="L28">
        <v>0.1</v>
      </c>
      <c r="M28">
        <f t="shared" si="0"/>
        <v>1.0811111111111111</v>
      </c>
      <c r="N28" t="s">
        <v>69</v>
      </c>
      <c r="O28" t="s">
        <v>69</v>
      </c>
    </row>
    <row r="29" spans="1:15" x14ac:dyDescent="0.25">
      <c r="A29" t="str">
        <f>E29&amp;"_"&amp;COUNTIF($E$2:E29, E29)</f>
        <v>Aerosol Can 45x150mm_7</v>
      </c>
      <c r="B29">
        <v>9001</v>
      </c>
      <c r="C29">
        <v>100</v>
      </c>
      <c r="D29" t="s">
        <v>51</v>
      </c>
      <c r="E29" t="s">
        <v>92</v>
      </c>
      <c r="F29">
        <v>45</v>
      </c>
      <c r="G29" t="s">
        <v>67</v>
      </c>
      <c r="H29">
        <v>507</v>
      </c>
      <c r="I29" t="s">
        <v>70</v>
      </c>
      <c r="J29" t="s">
        <v>54</v>
      </c>
      <c r="K29">
        <v>0.70099999999999996</v>
      </c>
      <c r="L29">
        <v>0.1</v>
      </c>
      <c r="M29">
        <f t="shared" si="0"/>
        <v>0.77888888888888885</v>
      </c>
      <c r="N29" t="s">
        <v>71</v>
      </c>
      <c r="O29" t="s">
        <v>71</v>
      </c>
    </row>
    <row r="30" spans="1:15" x14ac:dyDescent="0.25">
      <c r="A30" t="str">
        <f>E30&amp;"_"&amp;COUNTIF($E$2:E30, E30)</f>
        <v>Aerosol Can 45x150mm_8</v>
      </c>
      <c r="B30">
        <v>9001</v>
      </c>
      <c r="C30">
        <v>100</v>
      </c>
      <c r="D30" t="s">
        <v>51</v>
      </c>
      <c r="E30" t="s">
        <v>92</v>
      </c>
      <c r="F30">
        <v>45</v>
      </c>
      <c r="G30" t="s">
        <v>72</v>
      </c>
      <c r="H30">
        <v>508</v>
      </c>
      <c r="I30" t="s">
        <v>73</v>
      </c>
      <c r="J30" t="s">
        <v>54</v>
      </c>
      <c r="K30">
        <v>0.43</v>
      </c>
      <c r="L30">
        <v>0.1</v>
      </c>
      <c r="M30">
        <f t="shared" si="0"/>
        <v>0.47777777777777775</v>
      </c>
      <c r="N30" t="s">
        <v>74</v>
      </c>
      <c r="O30" t="s">
        <v>74</v>
      </c>
    </row>
    <row r="31" spans="1:15" x14ac:dyDescent="0.25">
      <c r="A31" t="str">
        <f>E31&amp;"_"&amp;COUNTIF($E$2:E31, E31)</f>
        <v>Aerosol Can 45x150mm_9</v>
      </c>
      <c r="B31">
        <v>9001</v>
      </c>
      <c r="C31">
        <v>100</v>
      </c>
      <c r="D31" t="s">
        <v>51</v>
      </c>
      <c r="E31" t="s">
        <v>92</v>
      </c>
      <c r="F31">
        <v>45</v>
      </c>
      <c r="G31" t="s">
        <v>72</v>
      </c>
      <c r="H31">
        <v>509</v>
      </c>
      <c r="I31" t="s">
        <v>75</v>
      </c>
      <c r="J31" t="s">
        <v>54</v>
      </c>
      <c r="K31">
        <v>0.38500000000000001</v>
      </c>
      <c r="L31">
        <v>0.1</v>
      </c>
      <c r="M31">
        <f t="shared" si="0"/>
        <v>0.42777777777777776</v>
      </c>
      <c r="N31" t="s">
        <v>76</v>
      </c>
      <c r="O31" t="s">
        <v>76</v>
      </c>
    </row>
    <row r="32" spans="1:15" x14ac:dyDescent="0.25">
      <c r="A32" t="str">
        <f>E32&amp;"_"&amp;COUNTIF($E$2:E32, E32)</f>
        <v>Aerosol Can 45x150mm_10</v>
      </c>
      <c r="B32">
        <v>9001</v>
      </c>
      <c r="C32">
        <v>100</v>
      </c>
      <c r="D32" t="s">
        <v>51</v>
      </c>
      <c r="E32" t="s">
        <v>92</v>
      </c>
      <c r="F32">
        <v>45</v>
      </c>
      <c r="G32" t="s">
        <v>77</v>
      </c>
      <c r="H32">
        <v>510</v>
      </c>
      <c r="I32" t="s">
        <v>78</v>
      </c>
      <c r="J32" t="s">
        <v>54</v>
      </c>
      <c r="K32">
        <v>0.28000000000000003</v>
      </c>
      <c r="L32">
        <v>0.1</v>
      </c>
      <c r="M32">
        <f t="shared" si="0"/>
        <v>0.31111111111111112</v>
      </c>
      <c r="N32" t="s">
        <v>79</v>
      </c>
      <c r="O32" t="s">
        <v>80</v>
      </c>
    </row>
    <row r="33" spans="1:15" x14ac:dyDescent="0.25">
      <c r="A33" t="str">
        <f>E33&amp;"_"&amp;COUNTIF($E$2:E33, E33)</f>
        <v>Aerosol Can 45x150mm_11</v>
      </c>
      <c r="B33">
        <v>9001</v>
      </c>
      <c r="C33">
        <v>100</v>
      </c>
      <c r="D33" t="s">
        <v>51</v>
      </c>
      <c r="E33" t="s">
        <v>92</v>
      </c>
      <c r="F33">
        <v>45</v>
      </c>
      <c r="G33" t="s">
        <v>77</v>
      </c>
      <c r="H33">
        <v>599</v>
      </c>
      <c r="I33" t="s">
        <v>81</v>
      </c>
      <c r="J33" t="s">
        <v>54</v>
      </c>
      <c r="K33">
        <v>0.28000000000000003</v>
      </c>
      <c r="L33">
        <v>0.1</v>
      </c>
      <c r="M33">
        <f t="shared" si="0"/>
        <v>0.31111111111111112</v>
      </c>
      <c r="N33" t="s">
        <v>79</v>
      </c>
      <c r="O33" t="s">
        <v>80</v>
      </c>
    </row>
    <row r="34" spans="1:15" x14ac:dyDescent="0.25">
      <c r="A34" t="str">
        <f>E34&amp;"_"&amp;COUNTIF($E$2:E34, E34)</f>
        <v>Aerosol Can 45x150mm_12</v>
      </c>
      <c r="B34">
        <v>9001</v>
      </c>
      <c r="C34">
        <v>100</v>
      </c>
      <c r="D34" t="s">
        <v>51</v>
      </c>
      <c r="E34" t="s">
        <v>92</v>
      </c>
      <c r="F34">
        <v>45</v>
      </c>
      <c r="G34" t="s">
        <v>77</v>
      </c>
      <c r="H34">
        <v>600</v>
      </c>
      <c r="I34" t="s">
        <v>82</v>
      </c>
      <c r="J34" t="s">
        <v>54</v>
      </c>
      <c r="K34">
        <v>0.28000000000000003</v>
      </c>
      <c r="L34">
        <v>0.1</v>
      </c>
      <c r="M34">
        <f t="shared" ref="M34:M64" si="1">K34/(1-L34)</f>
        <v>0.31111111111111112</v>
      </c>
      <c r="N34" t="s">
        <v>79</v>
      </c>
      <c r="O34" t="s">
        <v>80</v>
      </c>
    </row>
    <row r="35" spans="1:15" x14ac:dyDescent="0.25">
      <c r="A35" t="str">
        <f>E35&amp;"_"&amp;COUNTIF($E$2:E35, E35)</f>
        <v>Aerosol Can 45x150mm_13</v>
      </c>
      <c r="B35">
        <v>9001</v>
      </c>
      <c r="C35">
        <v>100</v>
      </c>
      <c r="D35" t="s">
        <v>51</v>
      </c>
      <c r="E35" t="s">
        <v>92</v>
      </c>
      <c r="F35">
        <v>45</v>
      </c>
      <c r="G35" t="s">
        <v>77</v>
      </c>
      <c r="H35">
        <v>601</v>
      </c>
      <c r="I35" t="s">
        <v>83</v>
      </c>
      <c r="J35" t="s">
        <v>54</v>
      </c>
      <c r="K35">
        <v>0.28000000000000003</v>
      </c>
      <c r="L35">
        <v>0.1</v>
      </c>
      <c r="M35">
        <f t="shared" si="1"/>
        <v>0.31111111111111112</v>
      </c>
      <c r="N35" t="s">
        <v>79</v>
      </c>
      <c r="O35" t="s">
        <v>80</v>
      </c>
    </row>
    <row r="36" spans="1:15" x14ac:dyDescent="0.25">
      <c r="A36" t="str">
        <f>E36&amp;"_"&amp;COUNTIF($E$2:E36, E36)</f>
        <v>Aerosol Can 45x150mm_14</v>
      </c>
      <c r="B36">
        <v>9001</v>
      </c>
      <c r="C36">
        <v>100</v>
      </c>
      <c r="D36" t="s">
        <v>51</v>
      </c>
      <c r="E36" t="s">
        <v>92</v>
      </c>
      <c r="F36">
        <v>45</v>
      </c>
      <c r="G36" t="s">
        <v>77</v>
      </c>
      <c r="H36">
        <v>602</v>
      </c>
      <c r="I36" t="s">
        <v>84</v>
      </c>
      <c r="J36" t="s">
        <v>54</v>
      </c>
      <c r="K36">
        <v>0.28000000000000003</v>
      </c>
      <c r="L36">
        <v>0.1</v>
      </c>
      <c r="M36">
        <f t="shared" si="1"/>
        <v>0.31111111111111112</v>
      </c>
      <c r="N36" t="s">
        <v>79</v>
      </c>
      <c r="O36" t="s">
        <v>80</v>
      </c>
    </row>
    <row r="37" spans="1:15" x14ac:dyDescent="0.25">
      <c r="A37" t="str">
        <f>E37&amp;"_"&amp;COUNTIF($E$2:E37, E37)</f>
        <v>Aerosol Can 45x150mm_15</v>
      </c>
      <c r="B37">
        <v>9001</v>
      </c>
      <c r="C37">
        <v>100</v>
      </c>
      <c r="D37" t="s">
        <v>51</v>
      </c>
      <c r="E37" t="s">
        <v>92</v>
      </c>
      <c r="F37">
        <v>45</v>
      </c>
      <c r="G37" t="s">
        <v>77</v>
      </c>
      <c r="H37">
        <v>603</v>
      </c>
      <c r="I37" t="s">
        <v>85</v>
      </c>
      <c r="J37" t="s">
        <v>54</v>
      </c>
      <c r="K37">
        <v>0.28000000000000003</v>
      </c>
      <c r="L37">
        <v>0.1</v>
      </c>
      <c r="M37">
        <f t="shared" si="1"/>
        <v>0.31111111111111112</v>
      </c>
      <c r="N37" t="s">
        <v>79</v>
      </c>
      <c r="O37" t="s">
        <v>80</v>
      </c>
    </row>
    <row r="38" spans="1:15" x14ac:dyDescent="0.25">
      <c r="A38" t="str">
        <f>E38&amp;"_"&amp;COUNTIF($E$2:E38, E38)</f>
        <v>Aerosol Can 45x150mm_16</v>
      </c>
      <c r="B38">
        <v>9001</v>
      </c>
      <c r="C38">
        <v>100</v>
      </c>
      <c r="D38" t="s">
        <v>51</v>
      </c>
      <c r="E38" t="s">
        <v>92</v>
      </c>
      <c r="F38">
        <v>45</v>
      </c>
      <c r="G38" t="s">
        <v>77</v>
      </c>
      <c r="H38">
        <v>604</v>
      </c>
      <c r="I38" t="s">
        <v>86</v>
      </c>
      <c r="J38" t="s">
        <v>54</v>
      </c>
      <c r="K38">
        <v>0.28000000000000003</v>
      </c>
      <c r="L38">
        <v>0.1</v>
      </c>
      <c r="M38">
        <f t="shared" si="1"/>
        <v>0.31111111111111112</v>
      </c>
      <c r="N38" t="s">
        <v>79</v>
      </c>
      <c r="O38" t="s">
        <v>80</v>
      </c>
    </row>
    <row r="39" spans="1:15" x14ac:dyDescent="0.25">
      <c r="A39" t="str">
        <f>E39&amp;"_"&amp;COUNTIF($E$2:E39, E39)</f>
        <v>Aerosol Can 45x150mm_17</v>
      </c>
      <c r="B39">
        <v>9001</v>
      </c>
      <c r="C39">
        <v>100</v>
      </c>
      <c r="D39" t="s">
        <v>51</v>
      </c>
      <c r="E39" t="s">
        <v>92</v>
      </c>
      <c r="F39">
        <v>45</v>
      </c>
      <c r="G39" t="s">
        <v>77</v>
      </c>
      <c r="H39">
        <v>605</v>
      </c>
      <c r="I39" t="s">
        <v>87</v>
      </c>
      <c r="J39" t="s">
        <v>54</v>
      </c>
      <c r="K39">
        <v>0.28000000000000003</v>
      </c>
      <c r="L39">
        <v>0.1</v>
      </c>
      <c r="M39">
        <f t="shared" si="1"/>
        <v>0.31111111111111112</v>
      </c>
      <c r="N39" t="s">
        <v>79</v>
      </c>
      <c r="O39" t="s">
        <v>80</v>
      </c>
    </row>
    <row r="40" spans="1:15" x14ac:dyDescent="0.25">
      <c r="A40" t="str">
        <f>E40&amp;"_"&amp;COUNTIF($E$2:E40, E40)</f>
        <v>Aerosol Can 45x150mm_18</v>
      </c>
      <c r="B40">
        <v>9001</v>
      </c>
      <c r="C40">
        <v>100</v>
      </c>
      <c r="D40" t="s">
        <v>51</v>
      </c>
      <c r="E40" t="s">
        <v>92</v>
      </c>
      <c r="F40">
        <v>45</v>
      </c>
      <c r="G40" t="s">
        <v>77</v>
      </c>
      <c r="H40">
        <v>606</v>
      </c>
      <c r="I40" t="s">
        <v>88</v>
      </c>
      <c r="J40" t="s">
        <v>54</v>
      </c>
      <c r="K40">
        <v>0.28000000000000003</v>
      </c>
      <c r="L40">
        <v>0.1</v>
      </c>
      <c r="M40">
        <f t="shared" si="1"/>
        <v>0.31111111111111112</v>
      </c>
      <c r="N40" t="s">
        <v>79</v>
      </c>
      <c r="O40" t="s">
        <v>80</v>
      </c>
    </row>
    <row r="41" spans="1:15" x14ac:dyDescent="0.25">
      <c r="A41" t="str">
        <f>E41&amp;"_"&amp;COUNTIF($E$2:E41, E41)</f>
        <v>Aerosol Can 45x150mm_19</v>
      </c>
      <c r="B41">
        <v>9001</v>
      </c>
      <c r="C41">
        <v>100</v>
      </c>
      <c r="D41" t="s">
        <v>51</v>
      </c>
      <c r="E41" t="s">
        <v>92</v>
      </c>
      <c r="F41">
        <v>45</v>
      </c>
      <c r="G41" t="s">
        <v>77</v>
      </c>
      <c r="H41">
        <v>607</v>
      </c>
      <c r="I41" t="s">
        <v>89</v>
      </c>
      <c r="J41" t="s">
        <v>54</v>
      </c>
      <c r="K41">
        <v>0.28000000000000003</v>
      </c>
      <c r="L41">
        <v>0.1</v>
      </c>
      <c r="M41">
        <f t="shared" si="1"/>
        <v>0.31111111111111112</v>
      </c>
      <c r="N41" t="s">
        <v>79</v>
      </c>
      <c r="O41" t="s">
        <v>80</v>
      </c>
    </row>
    <row r="42" spans="1:15" x14ac:dyDescent="0.25">
      <c r="A42" t="str">
        <f>E42&amp;"_"&amp;COUNTIF($E$2:E42, E42)</f>
        <v>Aerosol Can 45x150mm_20</v>
      </c>
      <c r="B42">
        <v>9001</v>
      </c>
      <c r="C42">
        <v>100</v>
      </c>
      <c r="D42" t="s">
        <v>51</v>
      </c>
      <c r="E42" t="s">
        <v>92</v>
      </c>
      <c r="F42">
        <v>45</v>
      </c>
      <c r="G42" t="s">
        <v>77</v>
      </c>
      <c r="H42">
        <v>608</v>
      </c>
      <c r="I42" t="s">
        <v>90</v>
      </c>
      <c r="J42" t="s">
        <v>54</v>
      </c>
      <c r="K42">
        <v>0.28000000000000003</v>
      </c>
      <c r="L42">
        <v>0.1</v>
      </c>
      <c r="M42">
        <f t="shared" si="1"/>
        <v>0.31111111111111112</v>
      </c>
      <c r="N42" t="s">
        <v>79</v>
      </c>
      <c r="O42" t="s">
        <v>80</v>
      </c>
    </row>
    <row r="43" spans="1:15" x14ac:dyDescent="0.25">
      <c r="A43" t="str">
        <f>E43&amp;"_"&amp;COUNTIF($E$2:E43, E43)</f>
        <v>Aerosol Can 45x150mm_21</v>
      </c>
      <c r="B43">
        <v>9001</v>
      </c>
      <c r="C43">
        <v>100</v>
      </c>
      <c r="D43" t="s">
        <v>51</v>
      </c>
      <c r="E43" t="s">
        <v>92</v>
      </c>
      <c r="F43">
        <v>45</v>
      </c>
      <c r="G43" t="s">
        <v>77</v>
      </c>
      <c r="H43">
        <v>609</v>
      </c>
      <c r="I43" t="s">
        <v>91</v>
      </c>
      <c r="J43" t="s">
        <v>54</v>
      </c>
      <c r="K43">
        <v>0.28000000000000003</v>
      </c>
      <c r="L43">
        <v>0.1</v>
      </c>
      <c r="M43">
        <f t="shared" si="1"/>
        <v>0.31111111111111112</v>
      </c>
      <c r="N43" t="s">
        <v>79</v>
      </c>
      <c r="O43" t="s">
        <v>80</v>
      </c>
    </row>
    <row r="44" spans="1:15" x14ac:dyDescent="0.25">
      <c r="A44" t="str">
        <f>E44&amp;"_"&amp;COUNTIF($E$2:E44, E44)</f>
        <v>Aerosol Can 45x160mm_1</v>
      </c>
      <c r="B44">
        <v>9002</v>
      </c>
      <c r="C44">
        <v>100</v>
      </c>
      <c r="D44" t="s">
        <v>51</v>
      </c>
      <c r="E44" t="s">
        <v>93</v>
      </c>
      <c r="F44">
        <v>45</v>
      </c>
      <c r="G44" t="s">
        <v>52</v>
      </c>
      <c r="H44">
        <v>501</v>
      </c>
      <c r="I44" t="s">
        <v>53</v>
      </c>
      <c r="J44" t="s">
        <v>54</v>
      </c>
      <c r="K44">
        <v>20</v>
      </c>
      <c r="L44">
        <v>0.1</v>
      </c>
      <c r="M44">
        <f t="shared" si="1"/>
        <v>22.222222222222221</v>
      </c>
      <c r="O44" t="s">
        <v>55</v>
      </c>
    </row>
    <row r="45" spans="1:15" x14ac:dyDescent="0.25">
      <c r="A45" t="str">
        <f>E45&amp;"_"&amp;COUNTIF($E$2:E45, E45)</f>
        <v>Aerosol Can 45x160mm_2</v>
      </c>
      <c r="B45">
        <v>9002</v>
      </c>
      <c r="C45">
        <v>100</v>
      </c>
      <c r="D45" t="s">
        <v>51</v>
      </c>
      <c r="E45" t="s">
        <v>93</v>
      </c>
      <c r="F45">
        <v>45</v>
      </c>
      <c r="G45" t="s">
        <v>56</v>
      </c>
      <c r="H45">
        <v>502</v>
      </c>
      <c r="I45" t="s">
        <v>57</v>
      </c>
      <c r="J45" t="s">
        <v>54</v>
      </c>
      <c r="K45">
        <v>2.1000000000000001E-2</v>
      </c>
      <c r="L45">
        <v>0.1</v>
      </c>
      <c r="M45">
        <f t="shared" si="1"/>
        <v>2.3333333333333334E-2</v>
      </c>
      <c r="N45" t="s">
        <v>58</v>
      </c>
      <c r="O45" t="s">
        <v>58</v>
      </c>
    </row>
    <row r="46" spans="1:15" x14ac:dyDescent="0.25">
      <c r="A46" t="str">
        <f>E46&amp;"_"&amp;COUNTIF($E$2:E46, E46)</f>
        <v>Aerosol Can 45x160mm_3</v>
      </c>
      <c r="B46">
        <v>9002</v>
      </c>
      <c r="C46">
        <v>100</v>
      </c>
      <c r="D46" t="s">
        <v>51</v>
      </c>
      <c r="E46" t="s">
        <v>93</v>
      </c>
      <c r="F46">
        <v>45</v>
      </c>
      <c r="G46" t="s">
        <v>59</v>
      </c>
      <c r="H46">
        <v>503</v>
      </c>
      <c r="I46" t="s">
        <v>60</v>
      </c>
      <c r="J46" t="s">
        <v>54</v>
      </c>
      <c r="K46">
        <v>5</v>
      </c>
      <c r="L46">
        <v>0.1</v>
      </c>
      <c r="M46">
        <f t="shared" si="1"/>
        <v>5.5555555555555554</v>
      </c>
      <c r="N46" t="s">
        <v>61</v>
      </c>
      <c r="O46" t="s">
        <v>61</v>
      </c>
    </row>
    <row r="47" spans="1:15" x14ac:dyDescent="0.25">
      <c r="A47" t="str">
        <f>E47&amp;"_"&amp;COUNTIF($E$2:E47, E47)</f>
        <v>Aerosol Can 45x160mm_4</v>
      </c>
      <c r="B47">
        <v>9002</v>
      </c>
      <c r="C47">
        <v>100</v>
      </c>
      <c r="D47" t="s">
        <v>51</v>
      </c>
      <c r="E47" t="s">
        <v>93</v>
      </c>
      <c r="F47">
        <v>45</v>
      </c>
      <c r="G47" t="s">
        <v>62</v>
      </c>
      <c r="H47">
        <v>504</v>
      </c>
      <c r="I47" t="s">
        <v>63</v>
      </c>
      <c r="J47" t="s">
        <v>54</v>
      </c>
      <c r="K47">
        <v>1.0449999999999999</v>
      </c>
      <c r="L47">
        <v>0.35</v>
      </c>
      <c r="M47">
        <f t="shared" si="1"/>
        <v>1.6076923076923075</v>
      </c>
      <c r="N47" t="s">
        <v>64</v>
      </c>
      <c r="O47" t="s">
        <v>64</v>
      </c>
    </row>
    <row r="48" spans="1:15" x14ac:dyDescent="0.25">
      <c r="A48" t="str">
        <f>E48&amp;"_"&amp;COUNTIF($E$2:E48, E48)</f>
        <v>Aerosol Can 45x160mm_5</v>
      </c>
      <c r="B48">
        <v>9002</v>
      </c>
      <c r="C48">
        <v>100</v>
      </c>
      <c r="D48" t="s">
        <v>51</v>
      </c>
      <c r="E48" t="s">
        <v>93</v>
      </c>
      <c r="F48">
        <v>45</v>
      </c>
      <c r="G48" t="s">
        <v>62</v>
      </c>
      <c r="H48">
        <v>505</v>
      </c>
      <c r="I48" t="s">
        <v>65</v>
      </c>
      <c r="J48" t="s">
        <v>54</v>
      </c>
      <c r="K48">
        <v>1.1399999999999999</v>
      </c>
      <c r="L48">
        <v>0.35</v>
      </c>
      <c r="M48">
        <f t="shared" si="1"/>
        <v>1.7538461538461536</v>
      </c>
      <c r="N48" t="s">
        <v>66</v>
      </c>
      <c r="O48" t="s">
        <v>66</v>
      </c>
    </row>
    <row r="49" spans="1:15" x14ac:dyDescent="0.25">
      <c r="A49" t="str">
        <f>E49&amp;"_"&amp;COUNTIF($E$2:E49, E49)</f>
        <v>Aerosol Can 45x160mm_6</v>
      </c>
      <c r="B49">
        <v>9002</v>
      </c>
      <c r="C49">
        <v>100</v>
      </c>
      <c r="D49" t="s">
        <v>51</v>
      </c>
      <c r="E49" t="s">
        <v>93</v>
      </c>
      <c r="F49">
        <v>45</v>
      </c>
      <c r="G49" t="s">
        <v>67</v>
      </c>
      <c r="H49">
        <v>506</v>
      </c>
      <c r="I49" t="s">
        <v>68</v>
      </c>
      <c r="J49" t="s">
        <v>54</v>
      </c>
      <c r="K49">
        <v>0.97299999999999998</v>
      </c>
      <c r="L49">
        <v>0.1</v>
      </c>
      <c r="M49">
        <f t="shared" si="1"/>
        <v>1.0811111111111111</v>
      </c>
      <c r="N49" t="s">
        <v>69</v>
      </c>
      <c r="O49" t="s">
        <v>69</v>
      </c>
    </row>
    <row r="50" spans="1:15" x14ac:dyDescent="0.25">
      <c r="A50" t="str">
        <f>E50&amp;"_"&amp;COUNTIF($E$2:E50, E50)</f>
        <v>Aerosol Can 45x160mm_7</v>
      </c>
      <c r="B50">
        <v>9002</v>
      </c>
      <c r="C50">
        <v>100</v>
      </c>
      <c r="D50" t="s">
        <v>51</v>
      </c>
      <c r="E50" t="s">
        <v>93</v>
      </c>
      <c r="F50">
        <v>45</v>
      </c>
      <c r="G50" t="s">
        <v>67</v>
      </c>
      <c r="H50">
        <v>507</v>
      </c>
      <c r="I50" t="s">
        <v>70</v>
      </c>
      <c r="J50" t="s">
        <v>54</v>
      </c>
      <c r="K50">
        <v>0.70099999999999996</v>
      </c>
      <c r="L50">
        <v>0.1</v>
      </c>
      <c r="M50">
        <f t="shared" si="1"/>
        <v>0.77888888888888885</v>
      </c>
      <c r="N50" t="s">
        <v>71</v>
      </c>
      <c r="O50" t="s">
        <v>71</v>
      </c>
    </row>
    <row r="51" spans="1:15" x14ac:dyDescent="0.25">
      <c r="A51" t="str">
        <f>E51&amp;"_"&amp;COUNTIF($E$2:E51, E51)</f>
        <v>Aerosol Can 45x160mm_8</v>
      </c>
      <c r="B51">
        <v>9002</v>
      </c>
      <c r="C51">
        <v>100</v>
      </c>
      <c r="D51" t="s">
        <v>51</v>
      </c>
      <c r="E51" t="s">
        <v>93</v>
      </c>
      <c r="F51">
        <v>45</v>
      </c>
      <c r="G51" t="s">
        <v>72</v>
      </c>
      <c r="H51">
        <v>508</v>
      </c>
      <c r="I51" t="s">
        <v>73</v>
      </c>
      <c r="J51" t="s">
        <v>54</v>
      </c>
      <c r="K51">
        <v>0.43</v>
      </c>
      <c r="L51">
        <v>0.1</v>
      </c>
      <c r="M51">
        <f t="shared" si="1"/>
        <v>0.47777777777777775</v>
      </c>
      <c r="N51" t="s">
        <v>74</v>
      </c>
      <c r="O51" t="s">
        <v>74</v>
      </c>
    </row>
    <row r="52" spans="1:15" x14ac:dyDescent="0.25">
      <c r="A52" t="str">
        <f>E52&amp;"_"&amp;COUNTIF($E$2:E52, E52)</f>
        <v>Aerosol Can 45x160mm_9</v>
      </c>
      <c r="B52">
        <v>9002</v>
      </c>
      <c r="C52">
        <v>100</v>
      </c>
      <c r="D52" t="s">
        <v>51</v>
      </c>
      <c r="E52" t="s">
        <v>93</v>
      </c>
      <c r="F52">
        <v>45</v>
      </c>
      <c r="G52" t="s">
        <v>72</v>
      </c>
      <c r="H52">
        <v>509</v>
      </c>
      <c r="I52" t="s">
        <v>75</v>
      </c>
      <c r="J52" t="s">
        <v>54</v>
      </c>
      <c r="K52">
        <v>0.38500000000000001</v>
      </c>
      <c r="L52">
        <v>0.1</v>
      </c>
      <c r="M52">
        <f t="shared" si="1"/>
        <v>0.42777777777777776</v>
      </c>
      <c r="N52" t="s">
        <v>76</v>
      </c>
      <c r="O52" t="s">
        <v>76</v>
      </c>
    </row>
    <row r="53" spans="1:15" x14ac:dyDescent="0.25">
      <c r="A53" t="str">
        <f>E53&amp;"_"&amp;COUNTIF($E$2:E53, E53)</f>
        <v>Aerosol Can 45x160mm_10</v>
      </c>
      <c r="B53">
        <v>9002</v>
      </c>
      <c r="C53">
        <v>100</v>
      </c>
      <c r="D53" t="s">
        <v>51</v>
      </c>
      <c r="E53" t="s">
        <v>93</v>
      </c>
      <c r="F53">
        <v>45</v>
      </c>
      <c r="G53" t="s">
        <v>77</v>
      </c>
      <c r="H53">
        <v>510</v>
      </c>
      <c r="I53" t="s">
        <v>78</v>
      </c>
      <c r="J53" t="s">
        <v>54</v>
      </c>
      <c r="K53">
        <v>0.28000000000000003</v>
      </c>
      <c r="L53">
        <v>0.1</v>
      </c>
      <c r="M53">
        <f t="shared" si="1"/>
        <v>0.31111111111111112</v>
      </c>
      <c r="N53" t="s">
        <v>79</v>
      </c>
      <c r="O53" t="s">
        <v>80</v>
      </c>
    </row>
    <row r="54" spans="1:15" x14ac:dyDescent="0.25">
      <c r="A54" t="str">
        <f>E54&amp;"_"&amp;COUNTIF($E$2:E54, E54)</f>
        <v>Aerosol Can 45x160mm_11</v>
      </c>
      <c r="B54">
        <v>9002</v>
      </c>
      <c r="C54">
        <v>100</v>
      </c>
      <c r="D54" t="s">
        <v>51</v>
      </c>
      <c r="E54" t="s">
        <v>93</v>
      </c>
      <c r="F54">
        <v>45</v>
      </c>
      <c r="G54" t="s">
        <v>77</v>
      </c>
      <c r="H54">
        <v>599</v>
      </c>
      <c r="I54" t="s">
        <v>81</v>
      </c>
      <c r="J54" t="s">
        <v>54</v>
      </c>
      <c r="K54">
        <v>0.28000000000000003</v>
      </c>
      <c r="L54">
        <v>0.1</v>
      </c>
      <c r="M54">
        <f t="shared" si="1"/>
        <v>0.31111111111111112</v>
      </c>
      <c r="N54" t="s">
        <v>79</v>
      </c>
      <c r="O54" t="s">
        <v>80</v>
      </c>
    </row>
    <row r="55" spans="1:15" x14ac:dyDescent="0.25">
      <c r="A55" t="str">
        <f>E55&amp;"_"&amp;COUNTIF($E$2:E55, E55)</f>
        <v>Aerosol Can 45x160mm_12</v>
      </c>
      <c r="B55">
        <v>9002</v>
      </c>
      <c r="C55">
        <v>100</v>
      </c>
      <c r="D55" t="s">
        <v>51</v>
      </c>
      <c r="E55" t="s">
        <v>93</v>
      </c>
      <c r="F55">
        <v>45</v>
      </c>
      <c r="G55" t="s">
        <v>77</v>
      </c>
      <c r="H55">
        <v>600</v>
      </c>
      <c r="I55" t="s">
        <v>82</v>
      </c>
      <c r="J55" t="s">
        <v>54</v>
      </c>
      <c r="K55">
        <v>0.28000000000000003</v>
      </c>
      <c r="L55">
        <v>0.1</v>
      </c>
      <c r="M55">
        <f t="shared" si="1"/>
        <v>0.31111111111111112</v>
      </c>
      <c r="N55" t="s">
        <v>79</v>
      </c>
      <c r="O55" t="s">
        <v>80</v>
      </c>
    </row>
    <row r="56" spans="1:15" x14ac:dyDescent="0.25">
      <c r="A56" t="str">
        <f>E56&amp;"_"&amp;COUNTIF($E$2:E56, E56)</f>
        <v>Aerosol Can 45x160mm_13</v>
      </c>
      <c r="B56">
        <v>9002</v>
      </c>
      <c r="C56">
        <v>100</v>
      </c>
      <c r="D56" t="s">
        <v>51</v>
      </c>
      <c r="E56" t="s">
        <v>93</v>
      </c>
      <c r="F56">
        <v>45</v>
      </c>
      <c r="G56" t="s">
        <v>77</v>
      </c>
      <c r="H56">
        <v>601</v>
      </c>
      <c r="I56" t="s">
        <v>83</v>
      </c>
      <c r="J56" t="s">
        <v>54</v>
      </c>
      <c r="K56">
        <v>0.28000000000000003</v>
      </c>
      <c r="L56">
        <v>0.1</v>
      </c>
      <c r="M56">
        <f t="shared" si="1"/>
        <v>0.31111111111111112</v>
      </c>
      <c r="N56" t="s">
        <v>79</v>
      </c>
      <c r="O56" t="s">
        <v>80</v>
      </c>
    </row>
    <row r="57" spans="1:15" x14ac:dyDescent="0.25">
      <c r="A57" t="str">
        <f>E57&amp;"_"&amp;COUNTIF($E$2:E57, E57)</f>
        <v>Aerosol Can 45x160mm_14</v>
      </c>
      <c r="B57">
        <v>9002</v>
      </c>
      <c r="C57">
        <v>100</v>
      </c>
      <c r="D57" t="s">
        <v>51</v>
      </c>
      <c r="E57" t="s">
        <v>93</v>
      </c>
      <c r="F57">
        <v>45</v>
      </c>
      <c r="G57" t="s">
        <v>77</v>
      </c>
      <c r="H57">
        <v>602</v>
      </c>
      <c r="I57" t="s">
        <v>84</v>
      </c>
      <c r="J57" t="s">
        <v>54</v>
      </c>
      <c r="K57">
        <v>0.28000000000000003</v>
      </c>
      <c r="L57">
        <v>0.1</v>
      </c>
      <c r="M57">
        <f t="shared" si="1"/>
        <v>0.31111111111111112</v>
      </c>
      <c r="N57" t="s">
        <v>79</v>
      </c>
      <c r="O57" t="s">
        <v>80</v>
      </c>
    </row>
    <row r="58" spans="1:15" x14ac:dyDescent="0.25">
      <c r="A58" t="str">
        <f>E58&amp;"_"&amp;COUNTIF($E$2:E58, E58)</f>
        <v>Aerosol Can 45x160mm_15</v>
      </c>
      <c r="B58">
        <v>9002</v>
      </c>
      <c r="C58">
        <v>100</v>
      </c>
      <c r="D58" t="s">
        <v>51</v>
      </c>
      <c r="E58" t="s">
        <v>93</v>
      </c>
      <c r="F58">
        <v>45</v>
      </c>
      <c r="G58" t="s">
        <v>77</v>
      </c>
      <c r="H58">
        <v>603</v>
      </c>
      <c r="I58" t="s">
        <v>85</v>
      </c>
      <c r="J58" t="s">
        <v>54</v>
      </c>
      <c r="K58">
        <v>0.28000000000000003</v>
      </c>
      <c r="L58">
        <v>0.1</v>
      </c>
      <c r="M58">
        <f t="shared" si="1"/>
        <v>0.31111111111111112</v>
      </c>
      <c r="N58" t="s">
        <v>79</v>
      </c>
      <c r="O58" t="s">
        <v>80</v>
      </c>
    </row>
    <row r="59" spans="1:15" x14ac:dyDescent="0.25">
      <c r="A59" t="str">
        <f>E59&amp;"_"&amp;COUNTIF($E$2:E59, E59)</f>
        <v>Aerosol Can 45x160mm_16</v>
      </c>
      <c r="B59">
        <v>9002</v>
      </c>
      <c r="C59">
        <v>100</v>
      </c>
      <c r="D59" t="s">
        <v>51</v>
      </c>
      <c r="E59" t="s">
        <v>93</v>
      </c>
      <c r="F59">
        <v>45</v>
      </c>
      <c r="G59" t="s">
        <v>77</v>
      </c>
      <c r="H59">
        <v>604</v>
      </c>
      <c r="I59" t="s">
        <v>86</v>
      </c>
      <c r="J59" t="s">
        <v>54</v>
      </c>
      <c r="K59">
        <v>0.28000000000000003</v>
      </c>
      <c r="L59">
        <v>0.1</v>
      </c>
      <c r="M59">
        <f t="shared" si="1"/>
        <v>0.31111111111111112</v>
      </c>
      <c r="N59" t="s">
        <v>79</v>
      </c>
      <c r="O59" t="s">
        <v>80</v>
      </c>
    </row>
    <row r="60" spans="1:15" x14ac:dyDescent="0.25">
      <c r="A60" t="str">
        <f>E60&amp;"_"&amp;COUNTIF($E$2:E60, E60)</f>
        <v>Aerosol Can 45x160mm_17</v>
      </c>
      <c r="B60">
        <v>9002</v>
      </c>
      <c r="C60">
        <v>100</v>
      </c>
      <c r="D60" t="s">
        <v>51</v>
      </c>
      <c r="E60" t="s">
        <v>93</v>
      </c>
      <c r="F60">
        <v>45</v>
      </c>
      <c r="G60" t="s">
        <v>77</v>
      </c>
      <c r="H60">
        <v>605</v>
      </c>
      <c r="I60" t="s">
        <v>87</v>
      </c>
      <c r="J60" t="s">
        <v>54</v>
      </c>
      <c r="K60">
        <v>0.28000000000000003</v>
      </c>
      <c r="L60">
        <v>0.1</v>
      </c>
      <c r="M60">
        <f t="shared" si="1"/>
        <v>0.31111111111111112</v>
      </c>
      <c r="N60" t="s">
        <v>79</v>
      </c>
      <c r="O60" t="s">
        <v>80</v>
      </c>
    </row>
    <row r="61" spans="1:15" x14ac:dyDescent="0.25">
      <c r="A61" t="str">
        <f>E61&amp;"_"&amp;COUNTIF($E$2:E61, E61)</f>
        <v>Aerosol Can 45x160mm_18</v>
      </c>
      <c r="B61">
        <v>9002</v>
      </c>
      <c r="C61">
        <v>100</v>
      </c>
      <c r="D61" t="s">
        <v>51</v>
      </c>
      <c r="E61" t="s">
        <v>93</v>
      </c>
      <c r="F61">
        <v>45</v>
      </c>
      <c r="G61" t="s">
        <v>77</v>
      </c>
      <c r="H61">
        <v>606</v>
      </c>
      <c r="I61" t="s">
        <v>88</v>
      </c>
      <c r="J61" t="s">
        <v>54</v>
      </c>
      <c r="K61">
        <v>0.28000000000000003</v>
      </c>
      <c r="L61">
        <v>0.1</v>
      </c>
      <c r="M61">
        <f t="shared" si="1"/>
        <v>0.31111111111111112</v>
      </c>
      <c r="N61" t="s">
        <v>79</v>
      </c>
      <c r="O61" t="s">
        <v>80</v>
      </c>
    </row>
    <row r="62" spans="1:15" x14ac:dyDescent="0.25">
      <c r="A62" t="str">
        <f>E62&amp;"_"&amp;COUNTIF($E$2:E62, E62)</f>
        <v>Aerosol Can 45x160mm_19</v>
      </c>
      <c r="B62">
        <v>9002</v>
      </c>
      <c r="C62">
        <v>100</v>
      </c>
      <c r="D62" t="s">
        <v>51</v>
      </c>
      <c r="E62" t="s">
        <v>93</v>
      </c>
      <c r="F62">
        <v>45</v>
      </c>
      <c r="G62" t="s">
        <v>77</v>
      </c>
      <c r="H62">
        <v>607</v>
      </c>
      <c r="I62" t="s">
        <v>89</v>
      </c>
      <c r="J62" t="s">
        <v>54</v>
      </c>
      <c r="K62">
        <v>0.28000000000000003</v>
      </c>
      <c r="L62">
        <v>0.1</v>
      </c>
      <c r="M62">
        <f t="shared" si="1"/>
        <v>0.31111111111111112</v>
      </c>
      <c r="N62" t="s">
        <v>79</v>
      </c>
      <c r="O62" t="s">
        <v>80</v>
      </c>
    </row>
    <row r="63" spans="1:15" x14ac:dyDescent="0.25">
      <c r="A63" t="str">
        <f>E63&amp;"_"&amp;COUNTIF($E$2:E63, E63)</f>
        <v>Aerosol Can 45x160mm_20</v>
      </c>
      <c r="B63">
        <v>9002</v>
      </c>
      <c r="C63">
        <v>100</v>
      </c>
      <c r="D63" t="s">
        <v>51</v>
      </c>
      <c r="E63" t="s">
        <v>93</v>
      </c>
      <c r="F63">
        <v>45</v>
      </c>
      <c r="G63" t="s">
        <v>77</v>
      </c>
      <c r="H63">
        <v>608</v>
      </c>
      <c r="I63" t="s">
        <v>90</v>
      </c>
      <c r="J63" t="s">
        <v>54</v>
      </c>
      <c r="K63">
        <v>0.28000000000000003</v>
      </c>
      <c r="L63">
        <v>0.1</v>
      </c>
      <c r="M63">
        <f t="shared" si="1"/>
        <v>0.31111111111111112</v>
      </c>
      <c r="N63" t="s">
        <v>79</v>
      </c>
      <c r="O63" t="s">
        <v>80</v>
      </c>
    </row>
    <row r="64" spans="1:15" x14ac:dyDescent="0.25">
      <c r="A64" t="str">
        <f>E64&amp;"_"&amp;COUNTIF($E$2:E64, E64)</f>
        <v>Aerosol Can 45x160mm_21</v>
      </c>
      <c r="B64">
        <v>9002</v>
      </c>
      <c r="C64">
        <v>100</v>
      </c>
      <c r="D64" t="s">
        <v>51</v>
      </c>
      <c r="E64" t="s">
        <v>93</v>
      </c>
      <c r="F64">
        <v>45</v>
      </c>
      <c r="G64" t="s">
        <v>77</v>
      </c>
      <c r="H64">
        <v>609</v>
      </c>
      <c r="I64" t="s">
        <v>91</v>
      </c>
      <c r="J64" t="s">
        <v>54</v>
      </c>
      <c r="K64">
        <v>0.28000000000000003</v>
      </c>
      <c r="L64">
        <v>0.1</v>
      </c>
      <c r="M64">
        <f t="shared" si="1"/>
        <v>0.31111111111111112</v>
      </c>
      <c r="N64" t="s">
        <v>79</v>
      </c>
      <c r="O64" t="s">
        <v>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1"/>
  <sheetViews>
    <sheetView workbookViewId="0">
      <selection activeCell="P2" sqref="P2"/>
    </sheetView>
  </sheetViews>
  <sheetFormatPr defaultRowHeight="15" x14ac:dyDescent="0.25"/>
  <sheetData>
    <row r="1" spans="1:16" x14ac:dyDescent="0.25">
      <c r="A1" s="5" t="s">
        <v>8</v>
      </c>
      <c r="B1" s="5" t="s">
        <v>10</v>
      </c>
      <c r="C1" s="5" t="s">
        <v>7</v>
      </c>
      <c r="D1" s="5" t="s">
        <v>23</v>
      </c>
      <c r="E1" s="5" t="s">
        <v>24</v>
      </c>
      <c r="F1" s="5" t="s">
        <v>25</v>
      </c>
      <c r="G1" s="5" t="s">
        <v>26</v>
      </c>
      <c r="H1" s="5" t="s">
        <v>27</v>
      </c>
      <c r="I1" s="5" t="s">
        <v>28</v>
      </c>
      <c r="J1" s="5" t="s">
        <v>29</v>
      </c>
      <c r="K1" s="5" t="s">
        <v>30</v>
      </c>
      <c r="L1" s="5" t="s">
        <v>31</v>
      </c>
      <c r="M1" s="5" t="s">
        <v>32</v>
      </c>
      <c r="N1" s="5" t="s">
        <v>33</v>
      </c>
      <c r="O1" s="5"/>
      <c r="P1" s="5" t="s">
        <v>94</v>
      </c>
    </row>
    <row r="2" spans="1:16" x14ac:dyDescent="0.25">
      <c r="A2" t="s">
        <v>9</v>
      </c>
      <c r="B2">
        <v>9001</v>
      </c>
      <c r="C2" t="s">
        <v>51</v>
      </c>
      <c r="D2" t="s">
        <v>95</v>
      </c>
      <c r="E2" t="s">
        <v>96</v>
      </c>
      <c r="F2" t="s">
        <v>97</v>
      </c>
      <c r="G2" t="s">
        <v>98</v>
      </c>
      <c r="H2" t="s">
        <v>99</v>
      </c>
      <c r="I2" t="s">
        <v>99</v>
      </c>
      <c r="J2" t="s">
        <v>100</v>
      </c>
      <c r="K2" t="s">
        <v>101</v>
      </c>
      <c r="L2" t="s">
        <v>102</v>
      </c>
      <c r="M2" t="s">
        <v>103</v>
      </c>
      <c r="N2" t="s">
        <v>104</v>
      </c>
      <c r="P2" t="s">
        <v>105</v>
      </c>
    </row>
    <row r="3" spans="1:16" x14ac:dyDescent="0.25">
      <c r="A3" t="s">
        <v>92</v>
      </c>
      <c r="B3">
        <v>9001</v>
      </c>
      <c r="C3" t="s">
        <v>51</v>
      </c>
      <c r="D3" t="s">
        <v>95</v>
      </c>
      <c r="E3" t="s">
        <v>96</v>
      </c>
      <c r="F3" t="s">
        <v>97</v>
      </c>
      <c r="G3" t="s">
        <v>98</v>
      </c>
      <c r="H3" t="s">
        <v>99</v>
      </c>
      <c r="I3" t="s">
        <v>99</v>
      </c>
      <c r="P3" t="s">
        <v>106</v>
      </c>
    </row>
    <row r="4" spans="1:16" x14ac:dyDescent="0.25">
      <c r="A4" t="s">
        <v>93</v>
      </c>
      <c r="B4">
        <v>9002</v>
      </c>
      <c r="C4" t="s">
        <v>51</v>
      </c>
      <c r="D4" t="s">
        <v>95</v>
      </c>
      <c r="E4" t="s">
        <v>96</v>
      </c>
      <c r="F4" t="s">
        <v>107</v>
      </c>
      <c r="G4" t="s">
        <v>98</v>
      </c>
      <c r="H4" t="s">
        <v>108</v>
      </c>
      <c r="I4" t="s">
        <v>108</v>
      </c>
      <c r="P4" t="s">
        <v>109</v>
      </c>
    </row>
    <row r="5" spans="1:16" x14ac:dyDescent="0.25">
      <c r="P5" t="s">
        <v>110</v>
      </c>
    </row>
    <row r="6" spans="1:16" x14ac:dyDescent="0.25">
      <c r="P6" t="s">
        <v>111</v>
      </c>
    </row>
    <row r="7" spans="1:16" x14ac:dyDescent="0.25">
      <c r="P7" t="s">
        <v>112</v>
      </c>
    </row>
    <row r="8" spans="1:16" x14ac:dyDescent="0.25">
      <c r="P8" t="s">
        <v>113</v>
      </c>
    </row>
    <row r="9" spans="1:16" x14ac:dyDescent="0.25">
      <c r="P9" t="s">
        <v>114</v>
      </c>
    </row>
    <row r="10" spans="1:16" x14ac:dyDescent="0.25">
      <c r="P10" t="s">
        <v>115</v>
      </c>
    </row>
    <row r="11" spans="1:16" x14ac:dyDescent="0.25">
      <c r="P11" t="s">
        <v>116</v>
      </c>
    </row>
    <row r="12" spans="1:16" x14ac:dyDescent="0.25">
      <c r="P12" t="s">
        <v>117</v>
      </c>
    </row>
    <row r="13" spans="1:16" x14ac:dyDescent="0.25">
      <c r="P13" t="s">
        <v>118</v>
      </c>
    </row>
    <row r="14" spans="1:16" x14ac:dyDescent="0.25">
      <c r="P14" t="s">
        <v>119</v>
      </c>
    </row>
    <row r="15" spans="1:16" x14ac:dyDescent="0.25">
      <c r="P15" t="s">
        <v>120</v>
      </c>
    </row>
    <row r="16" spans="1:16" x14ac:dyDescent="0.25">
      <c r="P16" t="s">
        <v>121</v>
      </c>
    </row>
    <row r="17" spans="16:16" x14ac:dyDescent="0.25">
      <c r="P17" t="s">
        <v>122</v>
      </c>
    </row>
    <row r="18" spans="16:16" x14ac:dyDescent="0.25">
      <c r="P18" t="s">
        <v>123</v>
      </c>
    </row>
    <row r="19" spans="16:16" x14ac:dyDescent="0.25">
      <c r="P19" t="s">
        <v>124</v>
      </c>
    </row>
    <row r="20" spans="16:16" x14ac:dyDescent="0.25">
      <c r="P20" t="s">
        <v>125</v>
      </c>
    </row>
    <row r="21" spans="16:16" x14ac:dyDescent="0.25">
      <c r="P21" t="s">
        <v>126</v>
      </c>
    </row>
    <row r="22" spans="16:16" x14ac:dyDescent="0.25">
      <c r="P22" t="s">
        <v>127</v>
      </c>
    </row>
    <row r="23" spans="16:16" x14ac:dyDescent="0.25">
      <c r="P23" t="s">
        <v>128</v>
      </c>
    </row>
    <row r="24" spans="16:16" x14ac:dyDescent="0.25">
      <c r="P24" t="s">
        <v>129</v>
      </c>
    </row>
    <row r="25" spans="16:16" x14ac:dyDescent="0.25">
      <c r="P25" t="s">
        <v>130</v>
      </c>
    </row>
    <row r="26" spans="16:16" x14ac:dyDescent="0.25">
      <c r="P26" t="s">
        <v>131</v>
      </c>
    </row>
    <row r="27" spans="16:16" x14ac:dyDescent="0.25">
      <c r="P27" t="s">
        <v>132</v>
      </c>
    </row>
    <row r="28" spans="16:16" x14ac:dyDescent="0.25">
      <c r="P28" t="s">
        <v>133</v>
      </c>
    </row>
    <row r="29" spans="16:16" x14ac:dyDescent="0.25">
      <c r="P29" t="s">
        <v>134</v>
      </c>
    </row>
    <row r="30" spans="16:16" x14ac:dyDescent="0.25">
      <c r="P30" t="s">
        <v>135</v>
      </c>
    </row>
    <row r="31" spans="16:16" x14ac:dyDescent="0.25">
      <c r="P31" t="s">
        <v>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Job Card</vt:lpstr>
      <vt:lpstr>Aerosol_BOM</vt:lpstr>
      <vt:lpstr>Products_DB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Sikander Shahjahan</cp:lastModifiedBy>
  <dcterms:created xsi:type="dcterms:W3CDTF">2026-07-08T09:44:54Z</dcterms:created>
  <dcterms:modified xsi:type="dcterms:W3CDTF">2026-09-11T05:23:39Z</dcterms:modified>
</cp:coreProperties>
</file>