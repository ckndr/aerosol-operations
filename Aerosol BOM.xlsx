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Aerosol\"/>
    </mc:Choice>
  </mc:AlternateContent>
  <xr:revisionPtr revIDLastSave="0" documentId="13_ncr:1_{64B4E74D-798D-4F53-B8C2-B22B6AB4AF92}" xr6:coauthVersionLast="47" xr6:coauthVersionMax="47" xr10:uidLastSave="{00000000-0000-0000-0000-000000000000}"/>
  <bookViews>
    <workbookView xWindow="-120" yWindow="-120" windowWidth="21840" windowHeight="13020" tabRatio="500" activeTab="2" xr2:uid="{00000000-000D-0000-FFFF-FFFF00000000}"/>
  </bookViews>
  <sheets>
    <sheet name="Theoretical BOM" sheetId="1" r:id="rId1"/>
    <sheet name="Required Spec for BOM" sheetId="2" r:id="rId2"/>
    <sheet name="Req. Calculator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L23" i="1"/>
  <c r="L22" i="1"/>
  <c r="H23" i="3" s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H24" i="3"/>
  <c r="F24" i="3"/>
  <c r="E24" i="3"/>
  <c r="G24" i="3" s="1"/>
  <c r="D24" i="3"/>
  <c r="C24" i="3"/>
  <c r="B24" i="3"/>
  <c r="F23" i="3"/>
  <c r="E23" i="3"/>
  <c r="G23" i="3" s="1"/>
  <c r="D23" i="3"/>
  <c r="C23" i="3"/>
  <c r="B23" i="3"/>
  <c r="H22" i="3"/>
  <c r="F22" i="3"/>
  <c r="E22" i="3"/>
  <c r="G22" i="3" s="1"/>
  <c r="D22" i="3"/>
  <c r="C22" i="3"/>
  <c r="B22" i="3"/>
  <c r="H21" i="3"/>
  <c r="F21" i="3"/>
  <c r="E21" i="3"/>
  <c r="G21" i="3" s="1"/>
  <c r="D21" i="3"/>
  <c r="C21" i="3"/>
  <c r="B21" i="3"/>
  <c r="H20" i="3"/>
  <c r="F20" i="3"/>
  <c r="E20" i="3"/>
  <c r="G20" i="3" s="1"/>
  <c r="D20" i="3"/>
  <c r="C20" i="3"/>
  <c r="B20" i="3"/>
  <c r="H19" i="3"/>
  <c r="F19" i="3"/>
  <c r="E19" i="3"/>
  <c r="G19" i="3" s="1"/>
  <c r="D19" i="3"/>
  <c r="C19" i="3"/>
  <c r="B19" i="3"/>
  <c r="H18" i="3"/>
  <c r="F18" i="3"/>
  <c r="E18" i="3"/>
  <c r="G18" i="3" s="1"/>
  <c r="D18" i="3"/>
  <c r="C18" i="3"/>
  <c r="B18" i="3"/>
  <c r="H17" i="3"/>
  <c r="F17" i="3"/>
  <c r="E17" i="3"/>
  <c r="G17" i="3" s="1"/>
  <c r="D17" i="3"/>
  <c r="C17" i="3"/>
  <c r="B17" i="3"/>
  <c r="H16" i="3"/>
  <c r="F16" i="3"/>
  <c r="E16" i="3"/>
  <c r="G16" i="3" s="1"/>
  <c r="D16" i="3"/>
  <c r="C16" i="3"/>
  <c r="B16" i="3"/>
  <c r="H15" i="3"/>
  <c r="F15" i="3"/>
  <c r="E15" i="3"/>
  <c r="G15" i="3" s="1"/>
  <c r="D15" i="3"/>
  <c r="C15" i="3"/>
  <c r="B15" i="3"/>
  <c r="H14" i="3"/>
  <c r="F14" i="3"/>
  <c r="E14" i="3"/>
  <c r="G14" i="3" s="1"/>
  <c r="D14" i="3"/>
  <c r="C14" i="3"/>
  <c r="B14" i="3"/>
  <c r="H13" i="3"/>
  <c r="F13" i="3"/>
  <c r="E13" i="3"/>
  <c r="G13" i="3" s="1"/>
  <c r="D13" i="3"/>
  <c r="C13" i="3"/>
  <c r="B13" i="3"/>
  <c r="H12" i="3"/>
  <c r="F12" i="3"/>
  <c r="E12" i="3"/>
  <c r="G12" i="3" s="1"/>
  <c r="D12" i="3"/>
  <c r="C12" i="3"/>
  <c r="B12" i="3"/>
  <c r="H11" i="3"/>
  <c r="F11" i="3"/>
  <c r="E11" i="3"/>
  <c r="G11" i="3" s="1"/>
  <c r="D11" i="3"/>
  <c r="C11" i="3"/>
  <c r="B11" i="3"/>
  <c r="H10" i="3"/>
  <c r="F10" i="3"/>
  <c r="E10" i="3"/>
  <c r="G10" i="3" s="1"/>
  <c r="D10" i="3"/>
  <c r="C10" i="3"/>
  <c r="B10" i="3"/>
  <c r="H9" i="3"/>
  <c r="F9" i="3"/>
  <c r="E9" i="3"/>
  <c r="G9" i="3" s="1"/>
  <c r="D9" i="3"/>
  <c r="C9" i="3"/>
  <c r="B9" i="3"/>
  <c r="H8" i="3"/>
  <c r="F8" i="3"/>
  <c r="E8" i="3"/>
  <c r="G8" i="3" s="1"/>
  <c r="D8" i="3"/>
  <c r="C8" i="3"/>
  <c r="B8" i="3"/>
  <c r="H7" i="3"/>
  <c r="F7" i="3"/>
  <c r="E7" i="3"/>
  <c r="G7" i="3" s="1"/>
  <c r="D7" i="3"/>
  <c r="C7" i="3"/>
  <c r="B7" i="3"/>
  <c r="H6" i="3"/>
  <c r="F6" i="3"/>
  <c r="E6" i="3"/>
  <c r="G6" i="3" s="1"/>
  <c r="D6" i="3"/>
  <c r="C6" i="3"/>
  <c r="B6" i="3"/>
  <c r="H5" i="3"/>
  <c r="F5" i="3"/>
  <c r="E5" i="3"/>
  <c r="G5" i="3" s="1"/>
  <c r="D5" i="3"/>
  <c r="C5" i="3"/>
  <c r="B5" i="3"/>
  <c r="H4" i="3"/>
  <c r="H25" i="3" s="1"/>
  <c r="F4" i="3"/>
  <c r="E4" i="3"/>
  <c r="G4" i="3" s="1"/>
  <c r="G25" i="3" s="1"/>
  <c r="D4" i="3"/>
  <c r="C4" i="3"/>
  <c r="B4" i="3"/>
</calcChain>
</file>

<file path=xl/sharedStrings.xml><?xml version="1.0" encoding="utf-8"?>
<sst xmlns="http://schemas.openxmlformats.org/spreadsheetml/2006/main" count="212" uniqueCount="108">
  <si>
    <t>AEROSOL BILL OF MATERIALS — Material Requirement Calculator</t>
  </si>
  <si>
    <t xml:space="preserve"> Target Production Qty (Cans):</t>
  </si>
  <si>
    <t>#</t>
  </si>
  <si>
    <t>Item Name</t>
  </si>
  <si>
    <t>Material Group</t>
  </si>
  <si>
    <t>UOM</t>
  </si>
  <si>
    <t>Per 1,000 Cans</t>
  </si>
  <si>
    <t>Waste %</t>
  </si>
  <si>
    <t>Net Required (kg)</t>
  </si>
  <si>
    <t>Net+Waste Gross Required (kg)</t>
  </si>
  <si>
    <t>TOTAL (all materials combined)</t>
  </si>
  <si>
    <t xml:space="preserve"> AEROSOL BILL OF MATERIALS — Customer-Specific</t>
  </si>
  <si>
    <t>P.ID</t>
  </si>
  <si>
    <t>BOM ID</t>
  </si>
  <si>
    <t>Customer</t>
  </si>
  <si>
    <t>Product Name</t>
  </si>
  <si>
    <t>Dia</t>
  </si>
  <si>
    <t>Item ID</t>
  </si>
  <si>
    <t>Net Qty / 1000</t>
  </si>
  <si>
    <t>Waste + Tolerance</t>
  </si>
  <si>
    <t>Gross Qty / 1000</t>
  </si>
  <si>
    <t>Remarks</t>
  </si>
  <si>
    <t>Calculations</t>
  </si>
  <si>
    <t>Aerosol Customer</t>
  </si>
  <si>
    <t>Aerosol Can 45mm</t>
  </si>
  <si>
    <t>Aluminum Slugs</t>
  </si>
  <si>
    <t>45mm Aluminum Slug</t>
  </si>
  <si>
    <t>kg</t>
  </si>
  <si>
    <t>Aluminum disc pressed into can shape. 20g per slug. 100% solid, nothing evaporates.</t>
  </si>
  <si>
    <t>Slug weight per can × 1000. Fixed material input.</t>
  </si>
  <si>
    <t>Lubricant</t>
  </si>
  <si>
    <t>SAPILUB LUBRIMET GR8</t>
  </si>
  <si>
    <t>Slug lubricant. TDS: 105g per 100kg slugs. Burns off during wash, none stays on can.</t>
  </si>
  <si>
    <t>105g per 100kg slugs × 20kg slugs/1000 = 0.021 kg/1000. (Ref: LUBRIMET GR8 TDS)</t>
  </si>
  <si>
    <t>Cleaner</t>
  </si>
  <si>
    <t>SAPILUB ALULIQUID 13</t>
  </si>
  <si>
    <t>Post-press wash chemical. No TDS rate; 5 kg/1000 is empirical. Fully drains off.</t>
  </si>
  <si>
    <t>Empirical / supplier recommendation. No TDS rate available.</t>
  </si>
  <si>
    <t>Lacquer</t>
  </si>
  <si>
    <t>SCHEKOSOL INT PROT Gold (400 9 901)</t>
  </si>
  <si>
    <t>Internal spray lacquer. TDS: 36% solid, 64% evaporates. Wet film 44 g/m2 (high-end). ~0.38g stays, ~0.67g evaporates per can. BOM uses full wet weight.</t>
  </si>
  <si>
    <t>Can inner surface area (0.02375 m²) × High-end TDS wet film (44.0 g/m²) = 1.045 g/can = 1.045 kg/1000</t>
  </si>
  <si>
    <t>SCHEKOSOL INT BEIGE (400 4 902)</t>
  </si>
  <si>
    <t>Internal spray lacquer. TDS: 38% solid, 62% evaporates. Wet film 48 g/m2 (high-end). ~0.43g stays, ~0.71g evaporates per can. BOM uses full wet weight.</t>
  </si>
  <si>
    <t>Can inner surface area (0.02375 m²) × High-end TDS wet film (48.0 g/m²) = 1.140 g/can = 1.140 kg/1000</t>
  </si>
  <si>
    <t>Base Coat</t>
  </si>
  <si>
    <t>SCHEKOSOL WH BC (422 0 903)</t>
  </si>
  <si>
    <t>External roller base coat. TDS: 71% solid, 29% evaporates. Wet film 43 g/m2 (high-end). ~0.69g stays, ~0.28g evaporates per can. BOM uses full wet weight.</t>
  </si>
  <si>
    <t>Can outer surface area (0.02262 m²) × High-end TDS wet film (43.0 g/m²) = 0.973 g/can = 0.973 kg/1000</t>
  </si>
  <si>
    <t>SCHEKOSOL CLEAR BC (422 9 918)</t>
  </si>
  <si>
    <t>External roller base coat. TDS: 51% solid, 49% evaporates. Wet film 31 g/m2 (high-end). ~0.36g stays, ~0.34g evaporates per can. BOM uses full wet weight.</t>
  </si>
  <si>
    <t>Can outer surface area (0.02262 m²) × High-end TDS wet film (31.0 g/m²) = 0.701 g/can = 0.701 kg/1000</t>
  </si>
  <si>
    <t>Varnish</t>
  </si>
  <si>
    <t>SCHEKOSOL OPV GLOSSY (422 9 900)</t>
  </si>
  <si>
    <t>External roller varnish. TDS: 43% solid, 57% evaporates. Wet film 19 g/m2 (high-end). ~0.18g stays, ~0.25g evaporates per can. BOM uses full wet weight.</t>
  </si>
  <si>
    <t>Can outer surface area (0.02262 m²) × High-end TDS wet film (19.0 g/m²) = 0.430 g/can = 0.430 kg/1000</t>
  </si>
  <si>
    <t>SCHEKOSOL OPV SILKMATT (422 9 903)</t>
  </si>
  <si>
    <t>External roller varnish. TDS: 47% solid, 53% evaporates. Wet film 17 g/m2 (high-end). ~0.18g stays, ~0.20g evaporates per can. BOM uses full wet weight.</t>
  </si>
  <si>
    <t>Can outer surface area (0.02262 m²) × High-end TDS wet film (17.0 g/m²) = 0.385 g/can = 0.385 kg/1000</t>
  </si>
  <si>
    <t>Ink</t>
  </si>
  <si>
    <t>SunAltec MB PLUS 169766 OPAQUE WHITE</t>
  </si>
  <si>
    <t>UV ink, ~100% solid (cures under UV, no solvent). ~0.28g per can per color. Usage varies by design.</t>
  </si>
  <si>
    <t>Dry-offset ink per print station per can ≈ 0.28 g/can = 0.280 kg/1000.</t>
  </si>
  <si>
    <t>11069 UV INK YELLOW (168391) AEROSOL</t>
  </si>
  <si>
    <t>11070 UV INK MAGENTA (168396) AEROSOL</t>
  </si>
  <si>
    <t>11071 UV INK BLACK (401295) AEROSOL</t>
  </si>
  <si>
    <t>11072 UV INK TRANSPARENT WHITE (169167) AEROSOL</t>
  </si>
  <si>
    <t>11065 UV INK REFLEX BLUE (168402) AEROSOL</t>
  </si>
  <si>
    <t>11066 UV INK RHODAMINE (168397) AEROSOL</t>
  </si>
  <si>
    <t>11067 UV INK PURPLE (168398) AEROSOL</t>
  </si>
  <si>
    <t>11068 UV INK VIOLET (168399) AEROSOL</t>
  </si>
  <si>
    <t>11074 UV INK RED 032 (156358/CF01) AEROSOL</t>
  </si>
  <si>
    <t>11073 UV INK CYAN (168400) AEROSOL</t>
  </si>
  <si>
    <t>11075 UV INK OPAQUE WHITE (400050) AEROSOL</t>
  </si>
  <si>
    <t>Sr.No</t>
  </si>
  <si>
    <t>Parameter</t>
  </si>
  <si>
    <t>Standard Specification</t>
  </si>
  <si>
    <t>Can Type</t>
  </si>
  <si>
    <t>Necked-in or Straight Wall</t>
  </si>
  <si>
    <t>Can Diameter</t>
  </si>
  <si>
    <t>mm</t>
  </si>
  <si>
    <t>Can Height</t>
  </si>
  <si>
    <t>Neck Opening</t>
  </si>
  <si>
    <t>Wall Thickness</t>
  </si>
  <si>
    <t>Cone Thickness</t>
  </si>
  <si>
    <t>Dome Thickness</t>
  </si>
  <si>
    <t>Bottom Type</t>
  </si>
  <si>
    <t>Dome</t>
  </si>
  <si>
    <t>Brimful Capacity</t>
  </si>
  <si>
    <t>ML</t>
  </si>
  <si>
    <t>Can weight</t>
  </si>
  <si>
    <t>gm</t>
  </si>
  <si>
    <t>Quantity per Pallet/Carton</t>
  </si>
  <si>
    <t>pcs</t>
  </si>
  <si>
    <t>Internal Coating Type</t>
  </si>
  <si>
    <t xml:space="preserve">BEIGE Epoxy-phenolic, Gold lacquer </t>
  </si>
  <si>
    <t>Base Coat Color</t>
  </si>
  <si>
    <t>White/ Golden/Any other color</t>
  </si>
  <si>
    <t>Printing</t>
  </si>
  <si>
    <t>CMYK, Pantone colors</t>
  </si>
  <si>
    <t>No of Color</t>
  </si>
  <si>
    <t>1--7</t>
  </si>
  <si>
    <t>External Finish</t>
  </si>
  <si>
    <t>Varnished / Non-Varnished</t>
  </si>
  <si>
    <t>Varnish Type</t>
  </si>
  <si>
    <t>GLOSSY/SILKMATT</t>
  </si>
  <si>
    <t>Mode Of Packaging</t>
  </si>
  <si>
    <t>Pallet or Carton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</si>
</sst>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#,##0.0"/>
    <numFmt numFmtId="166" formatCode="#,##0.000"/>
    <numFmt numFmtId="167" formatCode="_(* #,##0.00_);_(* \(#,##0.00\);_(* \-??_);_(@_)"/>
  </numFmts>
  <fonts count="13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4"/>
      <color rgb="FFFFFFFF"/>
      <name val="Segoe UI"/>
      <family val="2"/>
      <charset val="1"/>
    </font>
    <font>
      <b/>
      <sz val="10"/>
      <color rgb="FFFFFFFF"/>
      <name val="Segoe UI"/>
      <family val="2"/>
      <charset val="1"/>
    </font>
    <font>
      <sz val="9"/>
      <color rgb="FF000000"/>
      <name val="Segoe UI"/>
      <family val="2"/>
      <charset val="1"/>
    </font>
    <font>
      <sz val="11"/>
      <color theme="1"/>
      <name val="Calibri"/>
      <family val="2"/>
      <charset val="1"/>
    </font>
    <font>
      <b/>
      <sz val="10"/>
      <name val="Segoe UI"/>
      <family val="2"/>
    </font>
    <font>
      <b/>
      <sz val="12"/>
      <name val="Segoe UI"/>
      <family val="2"/>
    </font>
    <font>
      <i/>
      <sz val="9"/>
      <name val="Segoe UI"/>
      <family val="2"/>
    </font>
    <font>
      <sz val="10"/>
      <name val="Segoe UI"/>
      <family val="2"/>
    </font>
    <font>
      <b/>
      <sz val="10"/>
      <color theme="0"/>
      <name val="Segoe UI"/>
      <family val="2"/>
    </font>
    <font>
      <sz val="11"/>
      <color theme="0"/>
      <name val="Calibri"/>
      <family val="2"/>
      <charset val="1"/>
    </font>
    <font>
      <b/>
      <sz val="14"/>
      <color theme="0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4D8F"/>
        <bgColor rgb="FF1F3864"/>
      </patternFill>
    </fill>
    <fill>
      <patternFill patternType="solid">
        <fgColor rgb="FFD6E4F7"/>
        <bgColor rgb="FFE2EFDA"/>
      </patternFill>
    </fill>
    <fill>
      <patternFill patternType="solid">
        <fgColor rgb="FFFFF2CC"/>
        <bgColor rgb="FFF2F2F2"/>
      </patternFill>
    </fill>
  </fills>
  <borders count="17">
    <border>
      <left/>
      <right/>
      <top/>
      <bottom/>
      <diagonal/>
    </border>
    <border>
      <left style="thin">
        <color rgb="FFB8CCE4"/>
      </left>
      <right/>
      <top style="thin">
        <color rgb="FFB8CCE4"/>
      </top>
      <bottom style="thin">
        <color rgb="FFB8CCE4"/>
      </bottom>
      <diagonal/>
    </border>
    <border>
      <left style="medium">
        <color rgb="FFFFC000"/>
      </left>
      <right/>
      <top style="medium">
        <color rgb="FFFFC000"/>
      </top>
      <bottom style="medium">
        <color rgb="FFFFC000"/>
      </bottom>
      <diagonal/>
    </border>
    <border>
      <left/>
      <right/>
      <top style="thin">
        <color rgb="FFB8CCE4"/>
      </top>
      <bottom style="thin">
        <color rgb="FFB8CCE4"/>
      </bottom>
      <diagonal/>
    </border>
    <border>
      <left/>
      <right/>
      <top style="medium">
        <color rgb="FFFFC000"/>
      </top>
      <bottom style="medium">
        <color rgb="FFFFC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9">
    <xf numFmtId="0" fontId="0" fillId="0" borderId="0"/>
    <xf numFmtId="167" fontId="5" fillId="0" borderId="0"/>
    <xf numFmtId="0" fontId="5" fillId="0" borderId="0"/>
    <xf numFmtId="0" fontId="5" fillId="0" borderId="0">
      <alignment horizontal="left"/>
    </xf>
    <xf numFmtId="0" fontId="5" fillId="0" borderId="0"/>
    <xf numFmtId="0" fontId="5" fillId="0" borderId="0"/>
    <xf numFmtId="0" fontId="1" fillId="0" borderId="0"/>
    <xf numFmtId="0" fontId="1" fillId="0" borderId="0">
      <alignment horizontal="left"/>
    </xf>
    <xf numFmtId="0" fontId="5" fillId="0" borderId="0"/>
  </cellStyleXfs>
  <cellXfs count="38">
    <xf numFmtId="0" fontId="0" fillId="0" borderId="0" xfId="0"/>
    <xf numFmtId="0" fontId="0" fillId="0" borderId="0" xfId="0" applyAlignment="1">
      <alignment horizontal="left"/>
    </xf>
    <xf numFmtId="0" fontId="3" fillId="3" borderId="5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left" vertical="center" wrapText="1"/>
    </xf>
    <xf numFmtId="0" fontId="0" fillId="0" borderId="5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5" xfId="0" applyBorder="1"/>
    <xf numFmtId="0" fontId="0" fillId="0" borderId="13" xfId="0" applyBorder="1" applyAlignment="1">
      <alignment horizontal="left" vertical="center" wrapText="1"/>
    </xf>
    <xf numFmtId="0" fontId="0" fillId="0" borderId="14" xfId="0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4" fillId="0" borderId="5" xfId="0" applyFont="1" applyBorder="1" applyAlignment="1">
      <alignment horizontal="center" vertical="center"/>
    </xf>
    <xf numFmtId="164" fontId="4" fillId="0" borderId="5" xfId="0" applyNumberFormat="1" applyFont="1" applyBorder="1" applyAlignment="1">
      <alignment horizontal="center" vertical="center"/>
    </xf>
    <xf numFmtId="9" fontId="4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10" fillId="3" borderId="6" xfId="0" applyFont="1" applyFill="1" applyBorder="1" applyAlignment="1">
      <alignment horizontal="center" vertical="center" wrapText="1"/>
    </xf>
    <xf numFmtId="0" fontId="11" fillId="0" borderId="0" xfId="0" applyFont="1"/>
    <xf numFmtId="165" fontId="10" fillId="3" borderId="6" xfId="0" applyNumberFormat="1" applyFont="1" applyFill="1" applyBorder="1" applyAlignment="1">
      <alignment horizontal="center" vertical="center"/>
    </xf>
    <xf numFmtId="166" fontId="10" fillId="3" borderId="6" xfId="0" applyNumberFormat="1" applyFont="1" applyFill="1" applyBorder="1" applyAlignment="1">
      <alignment horizontal="center" vertical="center"/>
    </xf>
    <xf numFmtId="0" fontId="9" fillId="0" borderId="16" xfId="0" applyFont="1" applyBorder="1" applyAlignment="1">
      <alignment horizontal="center"/>
    </xf>
    <xf numFmtId="0" fontId="9" fillId="0" borderId="16" xfId="0" applyFont="1" applyBorder="1" applyAlignment="1">
      <alignment horizontal="left"/>
    </xf>
    <xf numFmtId="164" fontId="9" fillId="0" borderId="16" xfId="0" applyNumberFormat="1" applyFont="1" applyBorder="1" applyAlignment="1">
      <alignment horizontal="center"/>
    </xf>
    <xf numFmtId="9" fontId="9" fillId="0" borderId="16" xfId="0" applyNumberFormat="1" applyFont="1" applyBorder="1" applyAlignment="1">
      <alignment horizontal="center"/>
    </xf>
    <xf numFmtId="165" fontId="9" fillId="0" borderId="16" xfId="0" applyNumberFormat="1" applyFont="1" applyBorder="1" applyAlignment="1">
      <alignment horizontal="left"/>
    </xf>
    <xf numFmtId="166" fontId="9" fillId="0" borderId="16" xfId="0" applyNumberFormat="1" applyFont="1" applyBorder="1" applyAlignment="1">
      <alignment horizontal="left"/>
    </xf>
    <xf numFmtId="3" fontId="7" fillId="5" borderId="2" xfId="0" applyNumberFormat="1" applyFont="1" applyFill="1" applyBorder="1" applyAlignment="1">
      <alignment horizontal="center" vertical="center"/>
    </xf>
    <xf numFmtId="0" fontId="0" fillId="0" borderId="4" xfId="0" applyBorder="1"/>
    <xf numFmtId="0" fontId="8" fillId="4" borderId="1" xfId="0" applyFont="1" applyFill="1" applyBorder="1" applyAlignment="1">
      <alignment horizontal="left" vertical="center"/>
    </xf>
    <xf numFmtId="0" fontId="0" fillId="0" borderId="3" xfId="0" applyBorder="1"/>
    <xf numFmtId="0" fontId="12" fillId="2" borderId="0" xfId="0" applyFont="1" applyFill="1" applyAlignment="1">
      <alignment horizontal="center" vertical="center"/>
    </xf>
    <xf numFmtId="0" fontId="0" fillId="0" borderId="0" xfId="0"/>
    <xf numFmtId="0" fontId="6" fillId="4" borderId="1" xfId="0" applyFont="1" applyFill="1" applyBorder="1" applyAlignment="1">
      <alignment horizontal="right" vertical="center" indent="1"/>
    </xf>
    <xf numFmtId="0" fontId="10" fillId="3" borderId="1" xfId="0" applyFont="1" applyFill="1" applyBorder="1" applyAlignment="1">
      <alignment horizontal="right" vertical="center" indent="1"/>
    </xf>
    <xf numFmtId="0" fontId="2" fillId="2" borderId="7" xfId="0" applyFont="1" applyFill="1" applyBorder="1" applyAlignment="1">
      <alignment horizontal="left"/>
    </xf>
    <xf numFmtId="0" fontId="0" fillId="0" borderId="7" xfId="0" applyBorder="1"/>
  </cellXfs>
  <cellStyles count="9">
    <cellStyle name="Comma 2" xfId="1" xr:uid="{00000000-0005-0000-0000-000001000000}"/>
    <cellStyle name="Normal" xfId="0" builtinId="0"/>
    <cellStyle name="Normal 2" xfId="2" xr:uid="{00000000-0005-0000-0000-000002000000}"/>
    <cellStyle name="Pivot Table Category" xfId="3" xr:uid="{00000000-0005-0000-0000-000003000000}"/>
    <cellStyle name="Pivot Table Corner" xfId="4" xr:uid="{00000000-0005-0000-0000-000004000000}"/>
    <cellStyle name="Pivot Table Field" xfId="5" xr:uid="{00000000-0005-0000-0000-000005000000}"/>
    <cellStyle name="Pivot Table Result" xfId="6" xr:uid="{00000000-0005-0000-0000-000006000000}"/>
    <cellStyle name="Pivot Table Title" xfId="7" xr:uid="{00000000-0005-0000-0000-000007000000}"/>
    <cellStyle name="Pivot Table Value" xfId="8" xr:uid="{00000000-0005-0000-0000-000008000000}"/>
  </cellStyles>
  <dxfs count="8">
    <dxf>
      <alignment horizontal="general" vertical="center" wrapText="1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wrapText="1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general" vertical="center" wrapText="1"/>
    </dxf>
    <dxf>
      <border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charset val="1"/>
      </font>
      <alignment horizontal="center" vertical="center" wrapText="1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2CC"/>
      <rgbColor rgb="FFEEF4FC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7"/>
      <rgbColor rgb="FFE2EFDA"/>
      <rgbColor rgb="FFF2F2F2"/>
      <rgbColor rgb="FF99CCFF"/>
      <rgbColor rgb="FFFF99CC"/>
      <rgbColor rgb="FFCC99FF"/>
      <rgbColor rgb="FFF2F7FF"/>
      <rgbColor rgb="FF3366FF"/>
      <rgbColor rgb="FF33CCCC"/>
      <rgbColor rgb="FF99CC00"/>
      <rgbColor rgb="FFFFC000"/>
      <rgbColor rgb="FFFF9900"/>
      <rgbColor rgb="FFFF6600"/>
      <rgbColor rgb="FF5A5A5A"/>
      <rgbColor rgb="FF969696"/>
      <rgbColor rgb="FF1F3864"/>
      <rgbColor rgb="FF339966"/>
      <rgbColor rgb="FF003300"/>
      <rgbColor rgb="FF333300"/>
      <rgbColor rgb="FF993300"/>
      <rgbColor rgb="FF993366"/>
      <rgbColor rgb="FF2E4D8F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" displayName="Table2" ref="A1:C19" totalsRowShown="0" headerRowDxfId="7" dataDxfId="5" headerRowBorderDxfId="6" tableBorderDxfId="4" totalsRowBorderDxfId="3">
  <autoFilter ref="A1:C19" xr:uid="{00000000-0009-0000-0100-000001000000}"/>
  <tableColumns count="3">
    <tableColumn id="1" xr3:uid="{00000000-0010-0000-0000-000001000000}" name="Sr.No" dataDxfId="2"/>
    <tableColumn id="3" xr3:uid="{00000000-0010-0000-0000-000003000000}" name="Parameter" dataDxfId="1"/>
    <tableColumn id="2" xr3:uid="{00000000-0010-0000-0000-000002000000}" name="Standard Specifica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opLeftCell="C1" workbookViewId="0">
      <selection activeCell="J13" sqref="J13"/>
    </sheetView>
  </sheetViews>
  <sheetFormatPr defaultRowHeight="15" x14ac:dyDescent="0.25"/>
  <cols>
    <col min="1" max="1" width="7.28515625" hidden="1" customWidth="1"/>
    <col min="2" max="2" width="7.85546875" hidden="1" customWidth="1"/>
    <col min="3" max="3" width="16.42578125" customWidth="1"/>
    <col min="4" max="4" width="16.85546875" customWidth="1"/>
    <col min="5" max="5" width="4.28515625" customWidth="1"/>
    <col min="6" max="6" width="14.42578125" customWidth="1"/>
    <col min="7" max="7" width="10" customWidth="1"/>
    <col min="8" max="8" width="45" customWidth="1"/>
    <col min="9" max="9" width="6" customWidth="1"/>
    <col min="10" max="10" width="8.5703125" customWidth="1"/>
    <col min="11" max="12" width="10" customWidth="1"/>
    <col min="13" max="13" width="40" customWidth="1"/>
    <col min="14" max="14" width="60" style="1" bestFit="1" customWidth="1"/>
  </cols>
  <sheetData>
    <row r="1" spans="1:14" ht="20.25" customHeight="1" x14ac:dyDescent="0.35">
      <c r="A1" s="36" t="s">
        <v>11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</row>
    <row r="2" spans="1:14" ht="32.25" customHeight="1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4</v>
      </c>
      <c r="G2" s="2" t="s">
        <v>17</v>
      </c>
      <c r="H2" s="2" t="s">
        <v>3</v>
      </c>
      <c r="I2" s="2" t="s">
        <v>5</v>
      </c>
      <c r="J2" s="2" t="s">
        <v>18</v>
      </c>
      <c r="K2" s="2" t="s">
        <v>19</v>
      </c>
      <c r="L2" s="2" t="s">
        <v>20</v>
      </c>
      <c r="M2" s="2" t="s">
        <v>21</v>
      </c>
      <c r="N2" s="2" t="s">
        <v>22</v>
      </c>
    </row>
    <row r="3" spans="1:14" ht="15" customHeight="1" x14ac:dyDescent="0.25">
      <c r="A3" s="14">
        <v>9001</v>
      </c>
      <c r="B3" s="14">
        <v>100</v>
      </c>
      <c r="C3" s="14" t="s">
        <v>23</v>
      </c>
      <c r="D3" s="14" t="s">
        <v>24</v>
      </c>
      <c r="E3" s="14">
        <v>45</v>
      </c>
      <c r="F3" s="14" t="s">
        <v>25</v>
      </c>
      <c r="G3" s="14">
        <v>501</v>
      </c>
      <c r="H3" s="17" t="s">
        <v>26</v>
      </c>
      <c r="I3" s="14" t="s">
        <v>27</v>
      </c>
      <c r="J3" s="15">
        <v>20</v>
      </c>
      <c r="K3" s="16">
        <v>0.1</v>
      </c>
      <c r="L3" s="15">
        <f t="shared" ref="L3:L23" si="0">J3/(1-K3)</f>
        <v>22.222222222222221</v>
      </c>
      <c r="M3" s="17" t="s">
        <v>28</v>
      </c>
      <c r="N3" s="17" t="s">
        <v>29</v>
      </c>
    </row>
    <row r="4" spans="1:14" ht="15" customHeight="1" x14ac:dyDescent="0.25">
      <c r="A4" s="14">
        <v>9001</v>
      </c>
      <c r="B4" s="14">
        <v>100</v>
      </c>
      <c r="C4" s="14" t="s">
        <v>23</v>
      </c>
      <c r="D4" s="14" t="s">
        <v>24</v>
      </c>
      <c r="E4" s="14">
        <v>45</v>
      </c>
      <c r="F4" s="14" t="s">
        <v>30</v>
      </c>
      <c r="G4" s="14">
        <v>502</v>
      </c>
      <c r="H4" s="17" t="s">
        <v>31</v>
      </c>
      <c r="I4" s="14" t="s">
        <v>27</v>
      </c>
      <c r="J4" s="15">
        <v>2.1000000000000001E-2</v>
      </c>
      <c r="K4" s="16">
        <v>0.1</v>
      </c>
      <c r="L4" s="15">
        <f t="shared" si="0"/>
        <v>2.3333333333333334E-2</v>
      </c>
      <c r="M4" s="17" t="s">
        <v>32</v>
      </c>
      <c r="N4" s="17" t="s">
        <v>33</v>
      </c>
    </row>
    <row r="5" spans="1:14" ht="15" customHeight="1" x14ac:dyDescent="0.25">
      <c r="A5" s="14">
        <v>9001</v>
      </c>
      <c r="B5" s="14">
        <v>100</v>
      </c>
      <c r="C5" s="14" t="s">
        <v>23</v>
      </c>
      <c r="D5" s="14" t="s">
        <v>24</v>
      </c>
      <c r="E5" s="14">
        <v>45</v>
      </c>
      <c r="F5" s="14" t="s">
        <v>34</v>
      </c>
      <c r="G5" s="14">
        <v>503</v>
      </c>
      <c r="H5" s="17" t="s">
        <v>35</v>
      </c>
      <c r="I5" s="14" t="s">
        <v>27</v>
      </c>
      <c r="J5" s="15">
        <v>5</v>
      </c>
      <c r="K5" s="16">
        <v>0.1</v>
      </c>
      <c r="L5" s="15">
        <f t="shared" si="0"/>
        <v>5.5555555555555554</v>
      </c>
      <c r="M5" s="17" t="s">
        <v>36</v>
      </c>
      <c r="N5" s="17" t="s">
        <v>37</v>
      </c>
    </row>
    <row r="6" spans="1:14" ht="15" customHeight="1" x14ac:dyDescent="0.25">
      <c r="A6" s="14">
        <v>9001</v>
      </c>
      <c r="B6" s="14">
        <v>100</v>
      </c>
      <c r="C6" s="14" t="s">
        <v>23</v>
      </c>
      <c r="D6" s="14" t="s">
        <v>24</v>
      </c>
      <c r="E6" s="14">
        <v>45</v>
      </c>
      <c r="F6" s="14" t="s">
        <v>38</v>
      </c>
      <c r="G6" s="14">
        <v>504</v>
      </c>
      <c r="H6" s="17" t="s">
        <v>39</v>
      </c>
      <c r="I6" s="14" t="s">
        <v>27</v>
      </c>
      <c r="J6" s="15">
        <v>1.0449999999999999</v>
      </c>
      <c r="K6" s="16">
        <v>0.35</v>
      </c>
      <c r="L6" s="15">
        <f t="shared" si="0"/>
        <v>1.6076923076923075</v>
      </c>
      <c r="M6" s="17" t="s">
        <v>40</v>
      </c>
      <c r="N6" s="17" t="s">
        <v>41</v>
      </c>
    </row>
    <row r="7" spans="1:14" x14ac:dyDescent="0.25">
      <c r="A7" s="14">
        <v>9001</v>
      </c>
      <c r="B7" s="14">
        <v>100</v>
      </c>
      <c r="C7" s="14" t="s">
        <v>23</v>
      </c>
      <c r="D7" s="14" t="s">
        <v>24</v>
      </c>
      <c r="E7" s="14">
        <v>45</v>
      </c>
      <c r="F7" s="14" t="s">
        <v>38</v>
      </c>
      <c r="G7" s="14">
        <v>505</v>
      </c>
      <c r="H7" s="17" t="s">
        <v>42</v>
      </c>
      <c r="I7" s="14" t="s">
        <v>27</v>
      </c>
      <c r="J7" s="15">
        <v>1.1399999999999999</v>
      </c>
      <c r="K7" s="16">
        <v>0.35</v>
      </c>
      <c r="L7" s="15">
        <f t="shared" si="0"/>
        <v>1.7538461538461536</v>
      </c>
      <c r="M7" s="17" t="s">
        <v>43</v>
      </c>
      <c r="N7" s="17" t="s">
        <v>44</v>
      </c>
    </row>
    <row r="8" spans="1:14" ht="15" customHeight="1" x14ac:dyDescent="0.25">
      <c r="A8" s="14">
        <v>9001</v>
      </c>
      <c r="B8" s="14">
        <v>100</v>
      </c>
      <c r="C8" s="14" t="s">
        <v>23</v>
      </c>
      <c r="D8" s="14" t="s">
        <v>24</v>
      </c>
      <c r="E8" s="14">
        <v>45</v>
      </c>
      <c r="F8" s="14" t="s">
        <v>45</v>
      </c>
      <c r="G8" s="14">
        <v>506</v>
      </c>
      <c r="H8" s="17" t="s">
        <v>46</v>
      </c>
      <c r="I8" s="14" t="s">
        <v>27</v>
      </c>
      <c r="J8" s="15">
        <v>0.97299999999999998</v>
      </c>
      <c r="K8" s="16">
        <v>0.1</v>
      </c>
      <c r="L8" s="15">
        <f t="shared" si="0"/>
        <v>1.0811111111111111</v>
      </c>
      <c r="M8" s="17" t="s">
        <v>47</v>
      </c>
      <c r="N8" s="17" t="s">
        <v>48</v>
      </c>
    </row>
    <row r="9" spans="1:14" x14ac:dyDescent="0.25">
      <c r="A9" s="14">
        <v>9001</v>
      </c>
      <c r="B9" s="14">
        <v>100</v>
      </c>
      <c r="C9" s="14" t="s">
        <v>23</v>
      </c>
      <c r="D9" s="14" t="s">
        <v>24</v>
      </c>
      <c r="E9" s="14">
        <v>45</v>
      </c>
      <c r="F9" s="14" t="s">
        <v>45</v>
      </c>
      <c r="G9" s="14">
        <v>507</v>
      </c>
      <c r="H9" s="17" t="s">
        <v>49</v>
      </c>
      <c r="I9" s="14" t="s">
        <v>27</v>
      </c>
      <c r="J9" s="15">
        <v>0.70099999999999996</v>
      </c>
      <c r="K9" s="16">
        <v>0.1</v>
      </c>
      <c r="L9" s="15">
        <f t="shared" si="0"/>
        <v>0.77888888888888885</v>
      </c>
      <c r="M9" s="17" t="s">
        <v>50</v>
      </c>
      <c r="N9" s="17" t="s">
        <v>51</v>
      </c>
    </row>
    <row r="10" spans="1:14" ht="15" customHeight="1" x14ac:dyDescent="0.25">
      <c r="A10" s="14">
        <v>9001</v>
      </c>
      <c r="B10" s="14">
        <v>100</v>
      </c>
      <c r="C10" s="14" t="s">
        <v>23</v>
      </c>
      <c r="D10" s="14" t="s">
        <v>24</v>
      </c>
      <c r="E10" s="14">
        <v>45</v>
      </c>
      <c r="F10" s="14" t="s">
        <v>52</v>
      </c>
      <c r="G10" s="14">
        <v>508</v>
      </c>
      <c r="H10" s="17" t="s">
        <v>53</v>
      </c>
      <c r="I10" s="14" t="s">
        <v>27</v>
      </c>
      <c r="J10" s="15">
        <v>0.43</v>
      </c>
      <c r="K10" s="16">
        <v>0.1</v>
      </c>
      <c r="L10" s="15">
        <f t="shared" si="0"/>
        <v>0.47777777777777775</v>
      </c>
      <c r="M10" s="17" t="s">
        <v>54</v>
      </c>
      <c r="N10" s="17" t="s">
        <v>55</v>
      </c>
    </row>
    <row r="11" spans="1:14" ht="15" customHeight="1" x14ac:dyDescent="0.25">
      <c r="A11" s="14">
        <v>9001</v>
      </c>
      <c r="B11" s="14">
        <v>100</v>
      </c>
      <c r="C11" s="14" t="s">
        <v>23</v>
      </c>
      <c r="D11" s="14" t="s">
        <v>24</v>
      </c>
      <c r="E11" s="14">
        <v>45</v>
      </c>
      <c r="F11" s="14" t="s">
        <v>52</v>
      </c>
      <c r="G11" s="14">
        <v>509</v>
      </c>
      <c r="H11" s="17" t="s">
        <v>56</v>
      </c>
      <c r="I11" s="14" t="s">
        <v>27</v>
      </c>
      <c r="J11" s="15">
        <v>0.38500000000000001</v>
      </c>
      <c r="K11" s="16">
        <v>0.1</v>
      </c>
      <c r="L11" s="15">
        <f t="shared" si="0"/>
        <v>0.42777777777777776</v>
      </c>
      <c r="M11" s="17" t="s">
        <v>57</v>
      </c>
      <c r="N11" s="17" t="s">
        <v>58</v>
      </c>
    </row>
    <row r="12" spans="1:14" x14ac:dyDescent="0.25">
      <c r="A12" s="14">
        <v>9001</v>
      </c>
      <c r="B12" s="14">
        <v>100</v>
      </c>
      <c r="C12" s="14" t="s">
        <v>23</v>
      </c>
      <c r="D12" s="14" t="s">
        <v>24</v>
      </c>
      <c r="E12" s="14">
        <v>45</v>
      </c>
      <c r="F12" s="14" t="s">
        <v>59</v>
      </c>
      <c r="G12" s="14">
        <v>510</v>
      </c>
      <c r="H12" s="17" t="s">
        <v>60</v>
      </c>
      <c r="I12" s="14" t="s">
        <v>27</v>
      </c>
      <c r="J12" s="15">
        <v>0.28000000000000003</v>
      </c>
      <c r="K12" s="16">
        <v>0.1</v>
      </c>
      <c r="L12" s="15">
        <f t="shared" si="0"/>
        <v>0.31111111111111112</v>
      </c>
      <c r="M12" s="17" t="s">
        <v>61</v>
      </c>
      <c r="N12" s="17" t="s">
        <v>62</v>
      </c>
    </row>
    <row r="13" spans="1:14" x14ac:dyDescent="0.25">
      <c r="A13" s="14">
        <v>9001</v>
      </c>
      <c r="B13" s="14">
        <v>100</v>
      </c>
      <c r="C13" s="14" t="s">
        <v>23</v>
      </c>
      <c r="D13" s="14" t="s">
        <v>24</v>
      </c>
      <c r="E13" s="14">
        <v>45</v>
      </c>
      <c r="F13" s="14" t="s">
        <v>59</v>
      </c>
      <c r="G13" s="14">
        <v>599</v>
      </c>
      <c r="H13" s="17" t="s">
        <v>63</v>
      </c>
      <c r="I13" s="14" t="s">
        <v>27</v>
      </c>
      <c r="J13" s="15">
        <v>0.28000000000000003</v>
      </c>
      <c r="K13" s="16">
        <v>0.1</v>
      </c>
      <c r="L13" s="15">
        <f t="shared" si="0"/>
        <v>0.31111111111111112</v>
      </c>
      <c r="M13" s="17" t="s">
        <v>61</v>
      </c>
      <c r="N13" s="17" t="s">
        <v>62</v>
      </c>
    </row>
    <row r="14" spans="1:14" x14ac:dyDescent="0.25">
      <c r="A14" s="14">
        <v>9001</v>
      </c>
      <c r="B14" s="14">
        <v>100</v>
      </c>
      <c r="C14" s="14" t="s">
        <v>23</v>
      </c>
      <c r="D14" s="14" t="s">
        <v>24</v>
      </c>
      <c r="E14" s="14">
        <v>45</v>
      </c>
      <c r="F14" s="14" t="s">
        <v>59</v>
      </c>
      <c r="G14" s="14">
        <v>600</v>
      </c>
      <c r="H14" s="17" t="s">
        <v>64</v>
      </c>
      <c r="I14" s="14" t="s">
        <v>27</v>
      </c>
      <c r="J14" s="15">
        <v>0.28000000000000003</v>
      </c>
      <c r="K14" s="16">
        <v>0.1</v>
      </c>
      <c r="L14" s="15">
        <f t="shared" si="0"/>
        <v>0.31111111111111112</v>
      </c>
      <c r="M14" s="17" t="s">
        <v>61</v>
      </c>
      <c r="N14" s="17" t="s">
        <v>62</v>
      </c>
    </row>
    <row r="15" spans="1:14" x14ac:dyDescent="0.25">
      <c r="A15" s="14">
        <v>9001</v>
      </c>
      <c r="B15" s="14">
        <v>100</v>
      </c>
      <c r="C15" s="14" t="s">
        <v>23</v>
      </c>
      <c r="D15" s="14" t="s">
        <v>24</v>
      </c>
      <c r="E15" s="14">
        <v>45</v>
      </c>
      <c r="F15" s="14" t="s">
        <v>59</v>
      </c>
      <c r="G15" s="14">
        <v>601</v>
      </c>
      <c r="H15" s="17" t="s">
        <v>65</v>
      </c>
      <c r="I15" s="14" t="s">
        <v>27</v>
      </c>
      <c r="J15" s="15">
        <v>0.28000000000000003</v>
      </c>
      <c r="K15" s="16">
        <v>0.1</v>
      </c>
      <c r="L15" s="15">
        <f t="shared" si="0"/>
        <v>0.31111111111111112</v>
      </c>
      <c r="M15" s="17" t="s">
        <v>61</v>
      </c>
      <c r="N15" s="17" t="s">
        <v>62</v>
      </c>
    </row>
    <row r="16" spans="1:14" x14ac:dyDescent="0.25">
      <c r="A16" s="14">
        <v>9001</v>
      </c>
      <c r="B16" s="14">
        <v>100</v>
      </c>
      <c r="C16" s="14" t="s">
        <v>23</v>
      </c>
      <c r="D16" s="14" t="s">
        <v>24</v>
      </c>
      <c r="E16" s="14">
        <v>45</v>
      </c>
      <c r="F16" s="14" t="s">
        <v>59</v>
      </c>
      <c r="G16" s="14">
        <v>602</v>
      </c>
      <c r="H16" s="17" t="s">
        <v>66</v>
      </c>
      <c r="I16" s="14" t="s">
        <v>27</v>
      </c>
      <c r="J16" s="15">
        <v>0.28000000000000003</v>
      </c>
      <c r="K16" s="16">
        <v>0.1</v>
      </c>
      <c r="L16" s="15">
        <f t="shared" si="0"/>
        <v>0.31111111111111112</v>
      </c>
      <c r="M16" s="17" t="s">
        <v>61</v>
      </c>
      <c r="N16" s="17" t="s">
        <v>62</v>
      </c>
    </row>
    <row r="17" spans="1:14" x14ac:dyDescent="0.25">
      <c r="A17" s="14">
        <v>9001</v>
      </c>
      <c r="B17" s="14">
        <v>100</v>
      </c>
      <c r="C17" s="14" t="s">
        <v>23</v>
      </c>
      <c r="D17" s="14" t="s">
        <v>24</v>
      </c>
      <c r="E17" s="14">
        <v>45</v>
      </c>
      <c r="F17" s="14" t="s">
        <v>59</v>
      </c>
      <c r="G17" s="14">
        <v>603</v>
      </c>
      <c r="H17" s="17" t="s">
        <v>67</v>
      </c>
      <c r="I17" s="14" t="s">
        <v>27</v>
      </c>
      <c r="J17" s="15">
        <v>0.28000000000000003</v>
      </c>
      <c r="K17" s="16">
        <v>0.1</v>
      </c>
      <c r="L17" s="15">
        <f t="shared" si="0"/>
        <v>0.31111111111111112</v>
      </c>
      <c r="M17" s="17" t="s">
        <v>61</v>
      </c>
      <c r="N17" s="17" t="s">
        <v>62</v>
      </c>
    </row>
    <row r="18" spans="1:14" x14ac:dyDescent="0.25">
      <c r="A18" s="14">
        <v>9001</v>
      </c>
      <c r="B18" s="14">
        <v>100</v>
      </c>
      <c r="C18" s="14" t="s">
        <v>23</v>
      </c>
      <c r="D18" s="14" t="s">
        <v>24</v>
      </c>
      <c r="E18" s="14">
        <v>45</v>
      </c>
      <c r="F18" s="14" t="s">
        <v>59</v>
      </c>
      <c r="G18" s="14">
        <v>604</v>
      </c>
      <c r="H18" s="17" t="s">
        <v>68</v>
      </c>
      <c r="I18" s="14" t="s">
        <v>27</v>
      </c>
      <c r="J18" s="15">
        <v>0.28000000000000003</v>
      </c>
      <c r="K18" s="16">
        <v>0.1</v>
      </c>
      <c r="L18" s="15">
        <f t="shared" si="0"/>
        <v>0.31111111111111112</v>
      </c>
      <c r="M18" s="17" t="s">
        <v>61</v>
      </c>
      <c r="N18" s="17" t="s">
        <v>62</v>
      </c>
    </row>
    <row r="19" spans="1:14" x14ac:dyDescent="0.25">
      <c r="A19" s="14">
        <v>9001</v>
      </c>
      <c r="B19" s="14">
        <v>100</v>
      </c>
      <c r="C19" s="14" t="s">
        <v>23</v>
      </c>
      <c r="D19" s="14" t="s">
        <v>24</v>
      </c>
      <c r="E19" s="14">
        <v>45</v>
      </c>
      <c r="F19" s="14" t="s">
        <v>59</v>
      </c>
      <c r="G19" s="14">
        <v>605</v>
      </c>
      <c r="H19" s="17" t="s">
        <v>69</v>
      </c>
      <c r="I19" s="14" t="s">
        <v>27</v>
      </c>
      <c r="J19" s="15">
        <v>0.28000000000000003</v>
      </c>
      <c r="K19" s="16">
        <v>0.1</v>
      </c>
      <c r="L19" s="15">
        <f t="shared" si="0"/>
        <v>0.31111111111111112</v>
      </c>
      <c r="M19" s="17" t="s">
        <v>61</v>
      </c>
      <c r="N19" s="17" t="s">
        <v>62</v>
      </c>
    </row>
    <row r="20" spans="1:14" x14ac:dyDescent="0.25">
      <c r="A20" s="14">
        <v>9001</v>
      </c>
      <c r="B20" s="14">
        <v>100</v>
      </c>
      <c r="C20" s="14" t="s">
        <v>23</v>
      </c>
      <c r="D20" s="14" t="s">
        <v>24</v>
      </c>
      <c r="E20" s="14">
        <v>45</v>
      </c>
      <c r="F20" s="14" t="s">
        <v>59</v>
      </c>
      <c r="G20" s="14">
        <v>606</v>
      </c>
      <c r="H20" s="17" t="s">
        <v>70</v>
      </c>
      <c r="I20" s="14" t="s">
        <v>27</v>
      </c>
      <c r="J20" s="15">
        <v>0.28000000000000003</v>
      </c>
      <c r="K20" s="16">
        <v>0.1</v>
      </c>
      <c r="L20" s="15">
        <f t="shared" si="0"/>
        <v>0.31111111111111112</v>
      </c>
      <c r="M20" s="17" t="s">
        <v>61</v>
      </c>
      <c r="N20" s="17" t="s">
        <v>62</v>
      </c>
    </row>
    <row r="21" spans="1:14" x14ac:dyDescent="0.25">
      <c r="A21" s="14">
        <v>9001</v>
      </c>
      <c r="B21" s="14">
        <v>100</v>
      </c>
      <c r="C21" s="14" t="s">
        <v>23</v>
      </c>
      <c r="D21" s="14" t="s">
        <v>24</v>
      </c>
      <c r="E21" s="14">
        <v>45</v>
      </c>
      <c r="F21" s="14" t="s">
        <v>59</v>
      </c>
      <c r="G21" s="14">
        <v>607</v>
      </c>
      <c r="H21" s="17" t="s">
        <v>71</v>
      </c>
      <c r="I21" s="14" t="s">
        <v>27</v>
      </c>
      <c r="J21" s="15">
        <v>0.28000000000000003</v>
      </c>
      <c r="K21" s="16">
        <v>0.1</v>
      </c>
      <c r="L21" s="15">
        <f t="shared" si="0"/>
        <v>0.31111111111111112</v>
      </c>
      <c r="M21" s="17" t="s">
        <v>61</v>
      </c>
      <c r="N21" s="17" t="s">
        <v>62</v>
      </c>
    </row>
    <row r="22" spans="1:14" x14ac:dyDescent="0.25">
      <c r="A22" s="14">
        <v>9001</v>
      </c>
      <c r="B22" s="14">
        <v>100</v>
      </c>
      <c r="C22" s="14" t="s">
        <v>23</v>
      </c>
      <c r="D22" s="14" t="s">
        <v>24</v>
      </c>
      <c r="E22" s="14">
        <v>45</v>
      </c>
      <c r="F22" s="14" t="s">
        <v>59</v>
      </c>
      <c r="G22" s="14">
        <v>608</v>
      </c>
      <c r="H22" s="17" t="s">
        <v>72</v>
      </c>
      <c r="I22" s="14" t="s">
        <v>27</v>
      </c>
      <c r="J22" s="15">
        <v>0.28000000000000003</v>
      </c>
      <c r="K22" s="16">
        <v>0.1</v>
      </c>
      <c r="L22" s="15">
        <f t="shared" si="0"/>
        <v>0.31111111111111112</v>
      </c>
      <c r="M22" s="17" t="s">
        <v>61</v>
      </c>
      <c r="N22" s="17" t="s">
        <v>62</v>
      </c>
    </row>
    <row r="23" spans="1:14" x14ac:dyDescent="0.25">
      <c r="A23" s="14">
        <v>9001</v>
      </c>
      <c r="B23" s="14">
        <v>100</v>
      </c>
      <c r="C23" s="14" t="s">
        <v>23</v>
      </c>
      <c r="D23" s="14" t="s">
        <v>24</v>
      </c>
      <c r="E23" s="14">
        <v>45</v>
      </c>
      <c r="F23" s="14" t="s">
        <v>59</v>
      </c>
      <c r="G23" s="14">
        <v>609</v>
      </c>
      <c r="H23" s="17" t="s">
        <v>73</v>
      </c>
      <c r="I23" s="14" t="s">
        <v>27</v>
      </c>
      <c r="J23" s="15">
        <v>0.28000000000000003</v>
      </c>
      <c r="K23" s="16">
        <v>0.1</v>
      </c>
      <c r="L23" s="15">
        <f t="shared" si="0"/>
        <v>0.31111111111111112</v>
      </c>
      <c r="M23" s="17" t="s">
        <v>61</v>
      </c>
      <c r="N23" s="17" t="s">
        <v>62</v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9"/>
  <sheetViews>
    <sheetView workbookViewId="0">
      <selection activeCell="E24" sqref="E24"/>
    </sheetView>
  </sheetViews>
  <sheetFormatPr defaultRowHeight="15" x14ac:dyDescent="0.25"/>
  <cols>
    <col min="1" max="1" width="7.85546875" style="1" bestFit="1" customWidth="1"/>
    <col min="2" max="2" width="18.5703125" bestFit="1" customWidth="1"/>
    <col min="3" max="3" width="25.7109375" bestFit="1" customWidth="1"/>
  </cols>
  <sheetData>
    <row r="1" spans="1:3" x14ac:dyDescent="0.25">
      <c r="A1" s="4" t="s">
        <v>74</v>
      </c>
      <c r="B1" s="5" t="s">
        <v>75</v>
      </c>
      <c r="C1" s="6" t="s">
        <v>76</v>
      </c>
    </row>
    <row r="2" spans="1:3" x14ac:dyDescent="0.25">
      <c r="A2" s="7">
        <v>1</v>
      </c>
      <c r="B2" s="8" t="s">
        <v>77</v>
      </c>
      <c r="C2" s="9" t="s">
        <v>78</v>
      </c>
    </row>
    <row r="3" spans="1:3" x14ac:dyDescent="0.25">
      <c r="A3" s="7">
        <f t="shared" ref="A3:A19" si="0">A2+1</f>
        <v>2</v>
      </c>
      <c r="B3" s="8" t="s">
        <v>79</v>
      </c>
      <c r="C3" s="9" t="s">
        <v>80</v>
      </c>
    </row>
    <row r="4" spans="1:3" x14ac:dyDescent="0.25">
      <c r="A4" s="7">
        <f t="shared" si="0"/>
        <v>3</v>
      </c>
      <c r="B4" s="8" t="s">
        <v>81</v>
      </c>
      <c r="C4" s="9" t="s">
        <v>80</v>
      </c>
    </row>
    <row r="5" spans="1:3" x14ac:dyDescent="0.25">
      <c r="A5" s="7">
        <f t="shared" si="0"/>
        <v>4</v>
      </c>
      <c r="B5" s="8" t="s">
        <v>82</v>
      </c>
      <c r="C5" s="9" t="s">
        <v>80</v>
      </c>
    </row>
    <row r="6" spans="1:3" x14ac:dyDescent="0.25">
      <c r="A6" s="7">
        <f t="shared" si="0"/>
        <v>5</v>
      </c>
      <c r="B6" s="8" t="s">
        <v>83</v>
      </c>
      <c r="C6" s="9" t="s">
        <v>80</v>
      </c>
    </row>
    <row r="7" spans="1:3" x14ac:dyDescent="0.25">
      <c r="A7" s="7">
        <f t="shared" si="0"/>
        <v>6</v>
      </c>
      <c r="B7" s="8" t="s">
        <v>84</v>
      </c>
      <c r="C7" s="9" t="s">
        <v>80</v>
      </c>
    </row>
    <row r="8" spans="1:3" x14ac:dyDescent="0.25">
      <c r="A8" s="7">
        <f t="shared" si="0"/>
        <v>7</v>
      </c>
      <c r="B8" s="8" t="s">
        <v>85</v>
      </c>
      <c r="C8" s="9" t="s">
        <v>80</v>
      </c>
    </row>
    <row r="9" spans="1:3" x14ac:dyDescent="0.25">
      <c r="A9" s="7">
        <f t="shared" si="0"/>
        <v>8</v>
      </c>
      <c r="B9" s="8" t="s">
        <v>86</v>
      </c>
      <c r="C9" s="9" t="s">
        <v>87</v>
      </c>
    </row>
    <row r="10" spans="1:3" x14ac:dyDescent="0.25">
      <c r="A10" s="7">
        <f t="shared" si="0"/>
        <v>9</v>
      </c>
      <c r="B10" s="10" t="s">
        <v>88</v>
      </c>
      <c r="C10" s="9" t="s">
        <v>89</v>
      </c>
    </row>
    <row r="11" spans="1:3" x14ac:dyDescent="0.25">
      <c r="A11" s="7">
        <f t="shared" si="0"/>
        <v>10</v>
      </c>
      <c r="B11" s="8" t="s">
        <v>90</v>
      </c>
      <c r="C11" s="9" t="s">
        <v>91</v>
      </c>
    </row>
    <row r="12" spans="1:3" ht="30" customHeight="1" x14ac:dyDescent="0.25">
      <c r="A12" s="7">
        <f t="shared" si="0"/>
        <v>11</v>
      </c>
      <c r="B12" s="8" t="s">
        <v>92</v>
      </c>
      <c r="C12" s="9" t="s">
        <v>93</v>
      </c>
    </row>
    <row r="13" spans="1:3" ht="30" customHeight="1" x14ac:dyDescent="0.25">
      <c r="A13" s="7">
        <f t="shared" si="0"/>
        <v>12</v>
      </c>
      <c r="B13" s="8" t="s">
        <v>94</v>
      </c>
      <c r="C13" s="9" t="s">
        <v>95</v>
      </c>
    </row>
    <row r="14" spans="1:3" ht="30" customHeight="1" x14ac:dyDescent="0.25">
      <c r="A14" s="7">
        <f t="shared" si="0"/>
        <v>13</v>
      </c>
      <c r="B14" s="8" t="s">
        <v>96</v>
      </c>
      <c r="C14" s="9" t="s">
        <v>97</v>
      </c>
    </row>
    <row r="15" spans="1:3" x14ac:dyDescent="0.25">
      <c r="A15" s="7">
        <f t="shared" si="0"/>
        <v>14</v>
      </c>
      <c r="B15" s="8" t="s">
        <v>98</v>
      </c>
      <c r="C15" s="9" t="s">
        <v>99</v>
      </c>
    </row>
    <row r="16" spans="1:3" x14ac:dyDescent="0.25">
      <c r="A16" s="7">
        <f t="shared" si="0"/>
        <v>15</v>
      </c>
      <c r="B16" s="8" t="s">
        <v>100</v>
      </c>
      <c r="C16" s="9" t="s">
        <v>101</v>
      </c>
    </row>
    <row r="17" spans="1:7" x14ac:dyDescent="0.25">
      <c r="A17" s="7">
        <f t="shared" si="0"/>
        <v>16</v>
      </c>
      <c r="B17" s="8" t="s">
        <v>102</v>
      </c>
      <c r="C17" s="9" t="s">
        <v>103</v>
      </c>
    </row>
    <row r="18" spans="1:7" x14ac:dyDescent="0.25">
      <c r="A18" s="7">
        <f t="shared" si="0"/>
        <v>17</v>
      </c>
      <c r="B18" s="8" t="s">
        <v>104</v>
      </c>
      <c r="C18" s="9" t="s">
        <v>105</v>
      </c>
      <c r="G18" s="3"/>
    </row>
    <row r="19" spans="1:7" x14ac:dyDescent="0.25">
      <c r="A19" s="11">
        <f t="shared" si="0"/>
        <v>18</v>
      </c>
      <c r="B19" s="12" t="s">
        <v>106</v>
      </c>
      <c r="C19" s="13" t="s">
        <v>107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"/>
  <sheetViews>
    <sheetView tabSelected="1" workbookViewId="0">
      <selection activeCell="I9" sqref="I9"/>
    </sheetView>
  </sheetViews>
  <sheetFormatPr defaultRowHeight="15" x14ac:dyDescent="0.25"/>
  <cols>
    <col min="1" max="1" width="3" bestFit="1" customWidth="1"/>
    <col min="2" max="2" width="48.7109375" customWidth="1"/>
    <col min="3" max="3" width="15.140625" customWidth="1"/>
    <col min="4" max="4" width="6.42578125" customWidth="1"/>
    <col min="5" max="5" width="13.140625" customWidth="1"/>
    <col min="6" max="6" width="7.7109375" customWidth="1"/>
    <col min="7" max="7" width="13.42578125" customWidth="1"/>
    <col min="8" max="8" width="16.7109375" customWidth="1"/>
  </cols>
  <sheetData>
    <row r="1" spans="1:8" ht="27.75" customHeight="1" x14ac:dyDescent="0.25">
      <c r="A1" s="32" t="s">
        <v>0</v>
      </c>
      <c r="B1" s="33"/>
      <c r="C1" s="33"/>
      <c r="D1" s="33"/>
      <c r="E1" s="33"/>
      <c r="F1" s="33"/>
      <c r="G1" s="33"/>
      <c r="H1" s="33"/>
    </row>
    <row r="2" spans="1:8" ht="25.5" customHeight="1" x14ac:dyDescent="0.25">
      <c r="A2" s="34" t="s">
        <v>1</v>
      </c>
      <c r="B2" s="31"/>
      <c r="C2" s="31"/>
      <c r="D2" s="28">
        <v>750000</v>
      </c>
      <c r="E2" s="29"/>
      <c r="F2" s="30"/>
      <c r="G2" s="31"/>
      <c r="H2" s="31"/>
    </row>
    <row r="3" spans="1:8" s="19" customFormat="1" ht="30" customHeight="1" x14ac:dyDescent="0.25">
      <c r="A3" s="18" t="s">
        <v>2</v>
      </c>
      <c r="B3" s="18" t="s">
        <v>3</v>
      </c>
      <c r="C3" s="18" t="s">
        <v>4</v>
      </c>
      <c r="D3" s="18" t="s">
        <v>5</v>
      </c>
      <c r="E3" s="18" t="s">
        <v>6</v>
      </c>
      <c r="F3" s="18" t="s">
        <v>7</v>
      </c>
      <c r="G3" s="18" t="s">
        <v>8</v>
      </c>
      <c r="H3" s="18" t="s">
        <v>9</v>
      </c>
    </row>
    <row r="4" spans="1:8" ht="18" customHeight="1" x14ac:dyDescent="0.25">
      <c r="A4" s="22">
        <v>1</v>
      </c>
      <c r="B4" s="23" t="str">
        <f>'Theoretical BOM'!H3</f>
        <v>45mm Aluminum Slug</v>
      </c>
      <c r="C4" s="22" t="str">
        <f>'Theoretical BOM'!F3</f>
        <v>Aluminum Slugs</v>
      </c>
      <c r="D4" s="22" t="str">
        <f>'Theoretical BOM'!I3</f>
        <v>kg</v>
      </c>
      <c r="E4" s="24">
        <f>'Theoretical BOM'!J3</f>
        <v>20</v>
      </c>
      <c r="F4" s="25">
        <f>'Theoretical BOM'!K3</f>
        <v>0.1</v>
      </c>
      <c r="G4" s="26">
        <f t="shared" ref="G4:G24" si="0">(D$2/1000)*E4</f>
        <v>15000</v>
      </c>
      <c r="H4" s="27">
        <f>(D$2/1000)*'Theoretical BOM'!L3</f>
        <v>16666.666666666668</v>
      </c>
    </row>
    <row r="5" spans="1:8" ht="18" customHeight="1" x14ac:dyDescent="0.25">
      <c r="A5" s="22">
        <v>2</v>
      </c>
      <c r="B5" s="23" t="str">
        <f>'Theoretical BOM'!H4</f>
        <v>SAPILUB LUBRIMET GR8</v>
      </c>
      <c r="C5" s="22" t="str">
        <f>'Theoretical BOM'!F4</f>
        <v>Lubricant</v>
      </c>
      <c r="D5" s="22" t="str">
        <f>'Theoretical BOM'!I4</f>
        <v>kg</v>
      </c>
      <c r="E5" s="24">
        <f>'Theoretical BOM'!J4</f>
        <v>2.1000000000000001E-2</v>
      </c>
      <c r="F5" s="25">
        <f>'Theoretical BOM'!K4</f>
        <v>0.1</v>
      </c>
      <c r="G5" s="26">
        <f t="shared" si="0"/>
        <v>15.750000000000002</v>
      </c>
      <c r="H5" s="27">
        <f>(D$2/1000)*'Theoretical BOM'!L4</f>
        <v>17.5</v>
      </c>
    </row>
    <row r="6" spans="1:8" ht="18" customHeight="1" x14ac:dyDescent="0.25">
      <c r="A6" s="22">
        <v>3</v>
      </c>
      <c r="B6" s="23" t="str">
        <f>'Theoretical BOM'!H5</f>
        <v>SAPILUB ALULIQUID 13</v>
      </c>
      <c r="C6" s="22" t="str">
        <f>'Theoretical BOM'!F5</f>
        <v>Cleaner</v>
      </c>
      <c r="D6" s="22" t="str">
        <f>'Theoretical BOM'!I5</f>
        <v>kg</v>
      </c>
      <c r="E6" s="24">
        <f>'Theoretical BOM'!J5</f>
        <v>5</v>
      </c>
      <c r="F6" s="25">
        <f>'Theoretical BOM'!K5</f>
        <v>0.1</v>
      </c>
      <c r="G6" s="26">
        <f t="shared" si="0"/>
        <v>3750</v>
      </c>
      <c r="H6" s="27">
        <f>(D$2/1000)*'Theoretical BOM'!L5</f>
        <v>4166.666666666667</v>
      </c>
    </row>
    <row r="7" spans="1:8" ht="18" customHeight="1" x14ac:dyDescent="0.25">
      <c r="A7" s="22">
        <v>4</v>
      </c>
      <c r="B7" s="23" t="str">
        <f>'Theoretical BOM'!H6</f>
        <v>SCHEKOSOL INT PROT Gold (400 9 901)</v>
      </c>
      <c r="C7" s="22" t="str">
        <f>'Theoretical BOM'!F6</f>
        <v>Lacquer</v>
      </c>
      <c r="D7" s="22" t="str">
        <f>'Theoretical BOM'!I6</f>
        <v>kg</v>
      </c>
      <c r="E7" s="24">
        <f>'Theoretical BOM'!J6</f>
        <v>1.0449999999999999</v>
      </c>
      <c r="F7" s="25">
        <f>'Theoretical BOM'!K6</f>
        <v>0.35</v>
      </c>
      <c r="G7" s="26">
        <f t="shared" si="0"/>
        <v>783.75</v>
      </c>
      <c r="H7" s="27">
        <f>(D$2/1000)*'Theoretical BOM'!L6</f>
        <v>1205.7692307692307</v>
      </c>
    </row>
    <row r="8" spans="1:8" ht="18" customHeight="1" x14ac:dyDescent="0.25">
      <c r="A8" s="22">
        <v>5</v>
      </c>
      <c r="B8" s="23" t="str">
        <f>'Theoretical BOM'!H7</f>
        <v>SCHEKOSOL INT BEIGE (400 4 902)</v>
      </c>
      <c r="C8" s="22" t="str">
        <f>'Theoretical BOM'!F7</f>
        <v>Lacquer</v>
      </c>
      <c r="D8" s="22" t="str">
        <f>'Theoretical BOM'!I7</f>
        <v>kg</v>
      </c>
      <c r="E8" s="24">
        <f>'Theoretical BOM'!J7</f>
        <v>1.1399999999999999</v>
      </c>
      <c r="F8" s="25">
        <f>'Theoretical BOM'!K7</f>
        <v>0.35</v>
      </c>
      <c r="G8" s="26">
        <f t="shared" si="0"/>
        <v>854.99999999999989</v>
      </c>
      <c r="H8" s="27">
        <f>(D$2/1000)*'Theoretical BOM'!L7</f>
        <v>1315.3846153846152</v>
      </c>
    </row>
    <row r="9" spans="1:8" ht="18" customHeight="1" x14ac:dyDescent="0.25">
      <c r="A9" s="22">
        <v>6</v>
      </c>
      <c r="B9" s="23" t="str">
        <f>'Theoretical BOM'!H8</f>
        <v>SCHEKOSOL WH BC (422 0 903)</v>
      </c>
      <c r="C9" s="22" t="str">
        <f>'Theoretical BOM'!F8</f>
        <v>Base Coat</v>
      </c>
      <c r="D9" s="22" t="str">
        <f>'Theoretical BOM'!I8</f>
        <v>kg</v>
      </c>
      <c r="E9" s="24">
        <f>'Theoretical BOM'!J8</f>
        <v>0.97299999999999998</v>
      </c>
      <c r="F9" s="25">
        <f>'Theoretical BOM'!K8</f>
        <v>0.1</v>
      </c>
      <c r="G9" s="26">
        <f t="shared" si="0"/>
        <v>729.75</v>
      </c>
      <c r="H9" s="27">
        <f>(D$2/1000)*'Theoretical BOM'!L8</f>
        <v>810.83333333333337</v>
      </c>
    </row>
    <row r="10" spans="1:8" x14ac:dyDescent="0.25">
      <c r="A10" s="22">
        <v>7</v>
      </c>
      <c r="B10" s="23" t="str">
        <f>'Theoretical BOM'!H9</f>
        <v>SCHEKOSOL CLEAR BC (422 9 918)</v>
      </c>
      <c r="C10" s="22" t="str">
        <f>'Theoretical BOM'!F9</f>
        <v>Base Coat</v>
      </c>
      <c r="D10" s="22" t="str">
        <f>'Theoretical BOM'!I9</f>
        <v>kg</v>
      </c>
      <c r="E10" s="24">
        <f>'Theoretical BOM'!J9</f>
        <v>0.70099999999999996</v>
      </c>
      <c r="F10" s="25">
        <f>'Theoretical BOM'!K9</f>
        <v>0.1</v>
      </c>
      <c r="G10" s="26">
        <f t="shared" si="0"/>
        <v>525.75</v>
      </c>
      <c r="H10" s="27">
        <f>(D$2/1000)*'Theoretical BOM'!L9</f>
        <v>584.16666666666663</v>
      </c>
    </row>
    <row r="11" spans="1:8" ht="18" customHeight="1" x14ac:dyDescent="0.25">
      <c r="A11" s="22">
        <v>8</v>
      </c>
      <c r="B11" s="23" t="str">
        <f>'Theoretical BOM'!H10</f>
        <v>SCHEKOSOL OPV GLOSSY (422 9 900)</v>
      </c>
      <c r="C11" s="22" t="str">
        <f>'Theoretical BOM'!F10</f>
        <v>Varnish</v>
      </c>
      <c r="D11" s="22" t="str">
        <f>'Theoretical BOM'!I10</f>
        <v>kg</v>
      </c>
      <c r="E11" s="24">
        <f>'Theoretical BOM'!J10</f>
        <v>0.43</v>
      </c>
      <c r="F11" s="25">
        <f>'Theoretical BOM'!K10</f>
        <v>0.1</v>
      </c>
      <c r="G11" s="26">
        <f t="shared" si="0"/>
        <v>322.5</v>
      </c>
      <c r="H11" s="27">
        <f>(D$2/1000)*'Theoretical BOM'!L10</f>
        <v>358.33333333333331</v>
      </c>
    </row>
    <row r="12" spans="1:8" ht="18" customHeight="1" x14ac:dyDescent="0.25">
      <c r="A12" s="22">
        <v>9</v>
      </c>
      <c r="B12" s="23" t="str">
        <f>'Theoretical BOM'!H11</f>
        <v>SCHEKOSOL OPV SILKMATT (422 9 903)</v>
      </c>
      <c r="C12" s="22" t="str">
        <f>'Theoretical BOM'!F11</f>
        <v>Varnish</v>
      </c>
      <c r="D12" s="22" t="str">
        <f>'Theoretical BOM'!I11</f>
        <v>kg</v>
      </c>
      <c r="E12" s="24">
        <f>'Theoretical BOM'!J11</f>
        <v>0.38500000000000001</v>
      </c>
      <c r="F12" s="25">
        <f>'Theoretical BOM'!K11</f>
        <v>0.1</v>
      </c>
      <c r="G12" s="26">
        <f t="shared" si="0"/>
        <v>288.75</v>
      </c>
      <c r="H12" s="27">
        <f>(D$2/1000)*'Theoretical BOM'!L11</f>
        <v>320.83333333333331</v>
      </c>
    </row>
    <row r="13" spans="1:8" x14ac:dyDescent="0.25">
      <c r="A13" s="22">
        <v>10</v>
      </c>
      <c r="B13" s="23" t="str">
        <f>'Theoretical BOM'!H12</f>
        <v>SunAltec MB PLUS 169766 OPAQUE WHITE</v>
      </c>
      <c r="C13" s="22" t="str">
        <f>'Theoretical BOM'!F12</f>
        <v>Ink</v>
      </c>
      <c r="D13" s="22" t="str">
        <f>'Theoretical BOM'!I12</f>
        <v>kg</v>
      </c>
      <c r="E13" s="24">
        <f>'Theoretical BOM'!J12</f>
        <v>0.28000000000000003</v>
      </c>
      <c r="F13" s="25">
        <f>'Theoretical BOM'!K12</f>
        <v>0.1</v>
      </c>
      <c r="G13" s="26">
        <f t="shared" si="0"/>
        <v>210.00000000000003</v>
      </c>
      <c r="H13" s="27">
        <f>(D$2/1000)*'Theoretical BOM'!L12</f>
        <v>233.33333333333334</v>
      </c>
    </row>
    <row r="14" spans="1:8" x14ac:dyDescent="0.25">
      <c r="A14" s="22">
        <v>11</v>
      </c>
      <c r="B14" s="23" t="str">
        <f>'Theoretical BOM'!H13</f>
        <v>11069 UV INK YELLOW (168391) AEROSOL</v>
      </c>
      <c r="C14" s="22" t="str">
        <f>'Theoretical BOM'!F13</f>
        <v>Ink</v>
      </c>
      <c r="D14" s="22" t="str">
        <f>'Theoretical BOM'!I13</f>
        <v>kg</v>
      </c>
      <c r="E14" s="24">
        <f>'Theoretical BOM'!J13</f>
        <v>0.28000000000000003</v>
      </c>
      <c r="F14" s="25">
        <f>'Theoretical BOM'!K13</f>
        <v>0.1</v>
      </c>
      <c r="G14" s="26">
        <f t="shared" si="0"/>
        <v>210.00000000000003</v>
      </c>
      <c r="H14" s="27">
        <f>(D$2/1000)*'Theoretical BOM'!L13</f>
        <v>233.33333333333334</v>
      </c>
    </row>
    <row r="15" spans="1:8" x14ac:dyDescent="0.25">
      <c r="A15" s="22">
        <v>12</v>
      </c>
      <c r="B15" s="23" t="str">
        <f>'Theoretical BOM'!H14</f>
        <v>11070 UV INK MAGENTA (168396) AEROSOL</v>
      </c>
      <c r="C15" s="22" t="str">
        <f>'Theoretical BOM'!F14</f>
        <v>Ink</v>
      </c>
      <c r="D15" s="22" t="str">
        <f>'Theoretical BOM'!I14</f>
        <v>kg</v>
      </c>
      <c r="E15" s="24">
        <f>'Theoretical BOM'!J14</f>
        <v>0.28000000000000003</v>
      </c>
      <c r="F15" s="25">
        <f>'Theoretical BOM'!K14</f>
        <v>0.1</v>
      </c>
      <c r="G15" s="26">
        <f t="shared" si="0"/>
        <v>210.00000000000003</v>
      </c>
      <c r="H15" s="27">
        <f>(D$2/1000)*'Theoretical BOM'!L14</f>
        <v>233.33333333333334</v>
      </c>
    </row>
    <row r="16" spans="1:8" x14ac:dyDescent="0.25">
      <c r="A16" s="22">
        <v>13</v>
      </c>
      <c r="B16" s="23" t="str">
        <f>'Theoretical BOM'!H15</f>
        <v>11071 UV INK BLACK (401295) AEROSOL</v>
      </c>
      <c r="C16" s="22" t="str">
        <f>'Theoretical BOM'!F15</f>
        <v>Ink</v>
      </c>
      <c r="D16" s="22" t="str">
        <f>'Theoretical BOM'!I15</f>
        <v>kg</v>
      </c>
      <c r="E16" s="24">
        <f>'Theoretical BOM'!J15</f>
        <v>0.28000000000000003</v>
      </c>
      <c r="F16" s="25">
        <f>'Theoretical BOM'!K15</f>
        <v>0.1</v>
      </c>
      <c r="G16" s="26">
        <f t="shared" si="0"/>
        <v>210.00000000000003</v>
      </c>
      <c r="H16" s="27">
        <f>(D$2/1000)*'Theoretical BOM'!L15</f>
        <v>233.33333333333334</v>
      </c>
    </row>
    <row r="17" spans="1:8" x14ac:dyDescent="0.25">
      <c r="A17" s="22">
        <v>14</v>
      </c>
      <c r="B17" s="23" t="str">
        <f>'Theoretical BOM'!H16</f>
        <v>11072 UV INK TRANSPARENT WHITE (169167) AEROSOL</v>
      </c>
      <c r="C17" s="22" t="str">
        <f>'Theoretical BOM'!F16</f>
        <v>Ink</v>
      </c>
      <c r="D17" s="22" t="str">
        <f>'Theoretical BOM'!I16</f>
        <v>kg</v>
      </c>
      <c r="E17" s="24">
        <f>'Theoretical BOM'!J16</f>
        <v>0.28000000000000003</v>
      </c>
      <c r="F17" s="25">
        <f>'Theoretical BOM'!K16</f>
        <v>0.1</v>
      </c>
      <c r="G17" s="26">
        <f t="shared" si="0"/>
        <v>210.00000000000003</v>
      </c>
      <c r="H17" s="27">
        <f>(D$2/1000)*'Theoretical BOM'!L16</f>
        <v>233.33333333333334</v>
      </c>
    </row>
    <row r="18" spans="1:8" x14ac:dyDescent="0.25">
      <c r="A18" s="22">
        <v>15</v>
      </c>
      <c r="B18" s="23" t="str">
        <f>'Theoretical BOM'!H17</f>
        <v>11065 UV INK REFLEX BLUE (168402) AEROSOL</v>
      </c>
      <c r="C18" s="22" t="str">
        <f>'Theoretical BOM'!F17</f>
        <v>Ink</v>
      </c>
      <c r="D18" s="22" t="str">
        <f>'Theoretical BOM'!I17</f>
        <v>kg</v>
      </c>
      <c r="E18" s="24">
        <f>'Theoretical BOM'!J17</f>
        <v>0.28000000000000003</v>
      </c>
      <c r="F18" s="25">
        <f>'Theoretical BOM'!K17</f>
        <v>0.1</v>
      </c>
      <c r="G18" s="26">
        <f t="shared" si="0"/>
        <v>210.00000000000003</v>
      </c>
      <c r="H18" s="27">
        <f>(D$2/1000)*'Theoretical BOM'!L17</f>
        <v>233.33333333333334</v>
      </c>
    </row>
    <row r="19" spans="1:8" x14ac:dyDescent="0.25">
      <c r="A19" s="22">
        <v>16</v>
      </c>
      <c r="B19" s="23" t="str">
        <f>'Theoretical BOM'!H18</f>
        <v>11066 UV INK RHODAMINE (168397) AEROSOL</v>
      </c>
      <c r="C19" s="22" t="str">
        <f>'Theoretical BOM'!F18</f>
        <v>Ink</v>
      </c>
      <c r="D19" s="22" t="str">
        <f>'Theoretical BOM'!I18</f>
        <v>kg</v>
      </c>
      <c r="E19" s="24">
        <f>'Theoretical BOM'!J18</f>
        <v>0.28000000000000003</v>
      </c>
      <c r="F19" s="25">
        <f>'Theoretical BOM'!K18</f>
        <v>0.1</v>
      </c>
      <c r="G19" s="26">
        <f t="shared" si="0"/>
        <v>210.00000000000003</v>
      </c>
      <c r="H19" s="27">
        <f>(D$2/1000)*'Theoretical BOM'!L18</f>
        <v>233.33333333333334</v>
      </c>
    </row>
    <row r="20" spans="1:8" x14ac:dyDescent="0.25">
      <c r="A20" s="22">
        <v>17</v>
      </c>
      <c r="B20" s="23" t="str">
        <f>'Theoretical BOM'!H19</f>
        <v>11067 UV INK PURPLE (168398) AEROSOL</v>
      </c>
      <c r="C20" s="22" t="str">
        <f>'Theoretical BOM'!F19</f>
        <v>Ink</v>
      </c>
      <c r="D20" s="22" t="str">
        <f>'Theoretical BOM'!I19</f>
        <v>kg</v>
      </c>
      <c r="E20" s="24">
        <f>'Theoretical BOM'!J19</f>
        <v>0.28000000000000003</v>
      </c>
      <c r="F20" s="25">
        <f>'Theoretical BOM'!K19</f>
        <v>0.1</v>
      </c>
      <c r="G20" s="26">
        <f t="shared" si="0"/>
        <v>210.00000000000003</v>
      </c>
      <c r="H20" s="27">
        <f>(D$2/1000)*'Theoretical BOM'!L19</f>
        <v>233.33333333333334</v>
      </c>
    </row>
    <row r="21" spans="1:8" x14ac:dyDescent="0.25">
      <c r="A21" s="22">
        <v>18</v>
      </c>
      <c r="B21" s="23" t="str">
        <f>'Theoretical BOM'!H20</f>
        <v>11068 UV INK VIOLET (168399) AEROSOL</v>
      </c>
      <c r="C21" s="22" t="str">
        <f>'Theoretical BOM'!F20</f>
        <v>Ink</v>
      </c>
      <c r="D21" s="22" t="str">
        <f>'Theoretical BOM'!I20</f>
        <v>kg</v>
      </c>
      <c r="E21" s="24">
        <f>'Theoretical BOM'!J20</f>
        <v>0.28000000000000003</v>
      </c>
      <c r="F21" s="25">
        <f>'Theoretical BOM'!K20</f>
        <v>0.1</v>
      </c>
      <c r="G21" s="26">
        <f t="shared" si="0"/>
        <v>210.00000000000003</v>
      </c>
      <c r="H21" s="27">
        <f>(D$2/1000)*'Theoretical BOM'!L20</f>
        <v>233.33333333333334</v>
      </c>
    </row>
    <row r="22" spans="1:8" x14ac:dyDescent="0.25">
      <c r="A22" s="22">
        <v>19</v>
      </c>
      <c r="B22" s="23" t="str">
        <f>'Theoretical BOM'!H21</f>
        <v>11074 UV INK RED 032 (156358/CF01) AEROSOL</v>
      </c>
      <c r="C22" s="22" t="str">
        <f>'Theoretical BOM'!F21</f>
        <v>Ink</v>
      </c>
      <c r="D22" s="22" t="str">
        <f>'Theoretical BOM'!I21</f>
        <v>kg</v>
      </c>
      <c r="E22" s="24">
        <f>'Theoretical BOM'!J21</f>
        <v>0.28000000000000003</v>
      </c>
      <c r="F22" s="25">
        <f>'Theoretical BOM'!K21</f>
        <v>0.1</v>
      </c>
      <c r="G22" s="26">
        <f t="shared" si="0"/>
        <v>210.00000000000003</v>
      </c>
      <c r="H22" s="27">
        <f>(D$2/1000)*'Theoretical BOM'!L21</f>
        <v>233.33333333333334</v>
      </c>
    </row>
    <row r="23" spans="1:8" x14ac:dyDescent="0.25">
      <c r="A23" s="22">
        <v>20</v>
      </c>
      <c r="B23" s="23" t="str">
        <f>'Theoretical BOM'!H22</f>
        <v>11073 UV INK CYAN (168400) AEROSOL</v>
      </c>
      <c r="C23" s="22" t="str">
        <f>'Theoretical BOM'!F22</f>
        <v>Ink</v>
      </c>
      <c r="D23" s="22" t="str">
        <f>'Theoretical BOM'!I22</f>
        <v>kg</v>
      </c>
      <c r="E23" s="24">
        <f>'Theoretical BOM'!J22</f>
        <v>0.28000000000000003</v>
      </c>
      <c r="F23" s="25">
        <f>'Theoretical BOM'!K22</f>
        <v>0.1</v>
      </c>
      <c r="G23" s="26">
        <f t="shared" si="0"/>
        <v>210.00000000000003</v>
      </c>
      <c r="H23" s="27">
        <f>(D$2/1000)*'Theoretical BOM'!L22</f>
        <v>233.33333333333334</v>
      </c>
    </row>
    <row r="24" spans="1:8" x14ac:dyDescent="0.25">
      <c r="A24" s="22">
        <v>21</v>
      </c>
      <c r="B24" s="23" t="str">
        <f>'Theoretical BOM'!H23</f>
        <v>11075 UV INK OPAQUE WHITE (400050) AEROSOL</v>
      </c>
      <c r="C24" s="22" t="str">
        <f>'Theoretical BOM'!F23</f>
        <v>Ink</v>
      </c>
      <c r="D24" s="22" t="str">
        <f>'Theoretical BOM'!I23</f>
        <v>kg</v>
      </c>
      <c r="E24" s="24">
        <f>'Theoretical BOM'!J23</f>
        <v>0.28000000000000003</v>
      </c>
      <c r="F24" s="25">
        <f>'Theoretical BOM'!K23</f>
        <v>0.1</v>
      </c>
      <c r="G24" s="26">
        <f t="shared" si="0"/>
        <v>210.00000000000003</v>
      </c>
      <c r="H24" s="27">
        <f>(D$2/1000)*'Theoretical BOM'!L23</f>
        <v>233.33333333333334</v>
      </c>
    </row>
    <row r="25" spans="1:8" s="19" customFormat="1" x14ac:dyDescent="0.25">
      <c r="A25" s="35" t="s">
        <v>10</v>
      </c>
      <c r="B25" s="31"/>
      <c r="C25" s="31"/>
      <c r="D25" s="31"/>
      <c r="E25" s="31"/>
      <c r="F25" s="31"/>
      <c r="G25" s="20">
        <f>SUM(G4:G24)</f>
        <v>24791.25</v>
      </c>
      <c r="H25" s="21">
        <f>SUM(H4:H24)</f>
        <v>28246.153846153829</v>
      </c>
    </row>
  </sheetData>
  <mergeCells count="5">
    <mergeCell ref="D2:E2"/>
    <mergeCell ref="F2:H2"/>
    <mergeCell ref="A1:H1"/>
    <mergeCell ref="A2:C2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Theoretical BOM</vt:lpstr>
      <vt:lpstr>Required Spec for BOM</vt:lpstr>
      <vt:lpstr>Req. Calculator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Alpha Containers Planning System v7.2</dc:title>
  <dc:subject>Planning &amp; Supply Chain — Tubex / Aerosol Plants</dc:subject>
  <dc:creator>Muhammad Sikander</dc:creator>
  <cp:keywords>production inventory planning procurement</cp:keywords>
  <dc:description>Production &amp; Inventory Planning System — Alpha Containers (Pvt.) Ltd</dc:description>
  <cp:lastModifiedBy>Sikander Shahjahan</cp:lastModifiedBy>
  <cp:revision>37</cp:revision>
  <dcterms:created xsi:type="dcterms:W3CDTF">2026-03-01T07:48:13Z</dcterms:created>
  <dcterms:modified xsi:type="dcterms:W3CDTF">2026-09-11T05:23:39Z</dcterms:modified>
  <cp:category>Operations</cp:category>
  <dc:language>en-US</dc:language>
</cp:coreProperties>
</file>