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020" tabRatio="600" firstSheet="0" activeTab="0" autoFilterDateGrouping="1"/>
  </bookViews>
  <sheets>
    <sheet xmlns:r="http://schemas.openxmlformats.org/officeDocument/2006/relationships" name="Data_Entry" sheetId="1" state="visible" r:id="rId1"/>
    <sheet xmlns:r="http://schemas.openxmlformats.org/officeDocument/2006/relationships" name="Validation_Lists" sheetId="2" state="hidden" r:id="rId2"/>
    <sheet xmlns:r="http://schemas.openxmlformats.org/officeDocument/2006/relationships" name="Product_Master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0.0%"/>
  </numFmts>
  <fonts count="5">
    <font>
      <name val="Calibri"/>
      <family val="2"/>
      <color theme="1"/>
      <sz val="11"/>
      <scheme val="minor"/>
    </font>
    <font>
      <name val="Segoe UI"/>
      <b val="1"/>
      <sz val="10"/>
    </font>
    <font>
      <name val="Segoe UI"/>
      <color rgb="FF000000"/>
      <sz val="9"/>
    </font>
    <font>
      <name val="Calibri"/>
      <family val="2"/>
      <sz val="11"/>
      <scheme val="minor"/>
    </font>
    <font>
      <name val="Segoe UI"/>
      <b val="1"/>
      <sz val="16"/>
    </font>
  </fonts>
  <fills count="6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0" tint="-0.1499984740745262"/>
        <bgColor rgb="FF415E9B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1499984740745262"/>
        <bgColor rgb="FF1F38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164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left" vertical="center"/>
      <protection locked="0" hidden="0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0" borderId="1" applyAlignment="1" applyProtection="1" pivotButton="0" quotePrefix="0" xfId="0">
      <alignment horizontal="right" vertical="center"/>
      <protection locked="0" hidden="0"/>
    </xf>
    <xf numFmtId="165" fontId="2" fillId="2" borderId="1" applyAlignment="1" pivotButton="0" quotePrefix="0" xfId="0">
      <alignment horizontal="right" vertical="center"/>
    </xf>
    <xf numFmtId="0" fontId="1" fillId="0" borderId="0" pivotButton="0" quotePrefix="0" xfId="0"/>
    <xf numFmtId="0" fontId="3" fillId="4" borderId="0" pivotButton="0" quotePrefix="0" xfId="0"/>
    <xf numFmtId="164" fontId="2" fillId="0" borderId="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left" vertical="center"/>
      <protection locked="0" hidden="0"/>
    </xf>
    <xf numFmtId="0" fontId="2" fillId="2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left" vertical="center"/>
    </xf>
    <xf numFmtId="3" fontId="2" fillId="0" borderId="3" applyAlignment="1" applyProtection="1" pivotButton="0" quotePrefix="0" xfId="0">
      <alignment horizontal="right" vertical="center"/>
      <protection locked="0" hidden="0"/>
    </xf>
    <xf numFmtId="165" fontId="2" fillId="2" borderId="3" applyAlignment="1" pivotButton="0" quotePrefix="0" xfId="0">
      <alignment horizontal="right" vertical="center"/>
    </xf>
    <xf numFmtId="0" fontId="1" fillId="3" borderId="2" applyAlignment="1" pivotButton="0" quotePrefix="0" xfId="0">
      <alignment horizontal="center" vertical="center" wrapText="1"/>
    </xf>
    <xf numFmtId="0" fontId="3" fillId="4" borderId="2" pivotButton="0" quotePrefix="0" xfId="0"/>
    <xf numFmtId="0" fontId="4" fillId="5" borderId="4" applyAlignment="1" pivotButton="0" quotePrefix="0" xfId="0">
      <alignment horizontal="center" vertical="center"/>
    </xf>
    <xf numFmtId="0" fontId="0" fillId="0" borderId="4" pivotButton="0" quotePrefix="0" xfId="0"/>
    <xf numFmtId="10" fontId="2" fillId="2" borderId="3" applyAlignment="1" pivotButton="0" quotePrefix="0" xfId="0">
      <alignment horizontal="right" vertical="center"/>
    </xf>
    <xf numFmtId="2" fontId="2" fillId="0" borderId="3" applyAlignment="1" applyProtection="1" pivotButton="0" quotePrefix="0" xfId="0">
      <alignment horizontal="right" vertical="center"/>
      <protection locked="0" hidden="0"/>
    </xf>
    <xf numFmtId="10" fontId="2" fillId="2" borderId="1" applyAlignment="1" pivotButton="0" quotePrefix="0" xfId="0">
      <alignment horizontal="right" vertical="center"/>
    </xf>
    <xf numFmtId="2" fontId="2" fillId="0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/>
  </cellStyles>
  <dxfs count="4">
    <dxf>
      <font>
        <name val="Segoe UI"/>
        <color rgb="FF7F6000"/>
        <sz val="9"/>
      </font>
      <fill>
        <patternFill patternType="solid">
          <fgColor rgb="FFFFF2CC"/>
          <bgColor rgb="FFFFF2CC"/>
        </patternFill>
      </fill>
    </dxf>
    <dxf>
      <font>
        <name val="Segoe UI"/>
        <color rgb="FF9C6500"/>
        <sz val="9"/>
      </font>
      <fill>
        <patternFill patternType="solid">
          <fgColor rgb="FFFFEB9C"/>
          <bgColor rgb="FFFFEB9C"/>
        </patternFill>
      </fill>
    </dxf>
    <dxf>
      <font>
        <name val="Segoe UI"/>
        <color rgb="FF9C0006"/>
        <sz val="9"/>
      </font>
      <fill>
        <patternFill patternType="solid">
          <fgColor rgb="FFFFC7CE"/>
          <bgColor rgb="FFFFC7CE"/>
        </patternFill>
      </fill>
    </dxf>
    <dxf>
      <font>
        <name val="Segoe UI"/>
        <color rgb="FF9C0006"/>
        <sz val="9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97"/>
  <sheetViews>
    <sheetView tabSelected="1" workbookViewId="0">
      <selection activeCell="D9" sqref="D9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35" customWidth="1" min="4" max="4"/>
    <col width="8" customWidth="1" min="5" max="5"/>
    <col width="20" customWidth="1" min="6" max="6"/>
    <col width="15" customWidth="1" min="7" max="8"/>
    <col width="12" customWidth="1" min="9" max="9"/>
    <col width="10" customWidth="1" min="10" max="10"/>
    <col width="13" customWidth="1" min="11" max="11"/>
    <col width="40" customWidth="1" min="12" max="12"/>
  </cols>
  <sheetData>
    <row r="1" ht="39.95" customFormat="1" customHeight="1" s="9">
      <c r="A1" s="19" t="inlineStr">
        <is>
          <t>AEROSOL PLANT — DAILY PRODUCTION DATA ENTRY</t>
        </is>
      </c>
      <c r="B1" s="20" t="n"/>
      <c r="C1" s="20" t="n"/>
      <c r="D1" s="20" t="n"/>
      <c r="E1" s="20" t="n"/>
      <c r="F1" s="20" t="n"/>
      <c r="G1" s="20" t="n"/>
      <c r="H1" s="20" t="n"/>
      <c r="I1" s="20" t="n"/>
      <c r="J1" s="20" t="n"/>
      <c r="K1" s="20" t="n"/>
      <c r="L1" s="20" t="n"/>
    </row>
    <row r="2" ht="42.75" customFormat="1" customHeight="1" s="18">
      <c r="A2" s="17" t="inlineStr">
        <is>
          <t>Date</t>
        </is>
      </c>
      <c r="B2" s="17" t="inlineStr">
        <is>
          <t>Machine</t>
        </is>
      </c>
      <c r="C2" s="17" t="inlineStr">
        <is>
          <t>POF #</t>
        </is>
      </c>
      <c r="D2" s="17" t="inlineStr">
        <is>
          <t>Product Name</t>
        </is>
      </c>
      <c r="E2" s="17" t="inlineStr">
        <is>
          <t>PID</t>
        </is>
      </c>
      <c r="F2" s="17" t="inlineStr">
        <is>
          <t>Customer</t>
        </is>
      </c>
      <c r="G2" s="17" t="inlineStr">
        <is>
          <t>Total Production
(pcs)</t>
        </is>
      </c>
      <c r="H2" s="17" t="inlineStr">
        <is>
          <t>Good Production
(pcs)</t>
        </is>
      </c>
      <c r="I2" s="17" t="inlineStr">
        <is>
          <t>Rejects
(pcs)</t>
        </is>
      </c>
      <c r="J2" s="17" t="inlineStr">
        <is>
          <t>Rejection
%</t>
        </is>
      </c>
      <c r="K2" s="17" t="inlineStr">
        <is>
          <t>DownTime</t>
        </is>
      </c>
      <c r="L2" s="17" t="inlineStr">
        <is>
          <t>Remarks</t>
        </is>
      </c>
    </row>
    <row r="3" ht="20.1" customHeight="1">
      <c r="A3" s="10" t="inlineStr">
        <is>
          <t>2026-09-12</t>
        </is>
      </c>
      <c r="B3" s="11" t="inlineStr">
        <is>
          <t>Continuous Line 1</t>
        </is>
      </c>
      <c r="C3" s="11" t="inlineStr">
        <is>
          <t>POF-2026-001</t>
        </is>
      </c>
      <c r="D3" s="12" t="inlineStr">
        <is>
          <t>5002 - Aerosol Container 45x160mm</t>
        </is>
      </c>
      <c r="E3" s="13" t="n">
        <v>5002</v>
      </c>
      <c r="F3" s="14" t="inlineStr">
        <is>
          <t>Aerosol Customer</t>
        </is>
      </c>
      <c r="G3" s="15" t="n">
        <v>0</v>
      </c>
      <c r="H3" s="15" t="n">
        <v>0</v>
      </c>
      <c r="I3" s="15" t="n">
        <v>0</v>
      </c>
      <c r="J3" s="21" t="n">
        <v>0</v>
      </c>
      <c r="K3" s="22" t="n">
        <v>0</v>
      </c>
      <c r="L3" s="12" t="inlineStr">
        <is>
          <t>Day Shift - Tariq Mahmood - Pre-production tooling readiness</t>
        </is>
      </c>
    </row>
    <row r="4" ht="20.1" customHeight="1">
      <c r="A4" s="1" t="inlineStr">
        <is>
          <t>2026-09-08</t>
        </is>
      </c>
      <c r="B4" s="2" t="inlineStr">
        <is>
          <t>Continuous Line 1</t>
        </is>
      </c>
      <c r="C4" s="2" t="inlineStr">
        <is>
          <t>POF-2026-081</t>
        </is>
      </c>
      <c r="D4" s="3" t="inlineStr">
        <is>
          <t>5002 - Golden Pearl Body Spray 150ml</t>
        </is>
      </c>
      <c r="E4" s="4" t="n">
        <v>5002</v>
      </c>
      <c r="F4" s="5" t="inlineStr">
        <is>
          <t>Golden Pearl Cosmetics</t>
        </is>
      </c>
      <c r="G4" s="6" t="n">
        <v>14580</v>
      </c>
      <c r="H4" s="6" t="n">
        <v>13800</v>
      </c>
      <c r="I4" s="6" t="n">
        <v>780</v>
      </c>
      <c r="J4" s="23" t="n">
        <v>0.0535</v>
      </c>
      <c r="K4" s="24" t="n">
        <v>1.5</v>
      </c>
      <c r="L4" s="3" t="inlineStr">
        <is>
          <t>Day Shift - Tariq Mahmood - Print mandrel registration tuning</t>
        </is>
      </c>
    </row>
    <row r="5" ht="20.1" customHeight="1">
      <c r="A5" s="1" t="inlineStr">
        <is>
          <t>2026-09-08</t>
        </is>
      </c>
      <c r="B5" s="2" t="inlineStr">
        <is>
          <t>Continuous Line 1</t>
        </is>
      </c>
      <c r="C5" s="2" t="inlineStr">
        <is>
          <t>POF-2026-081</t>
        </is>
      </c>
      <c r="D5" s="3" t="inlineStr">
        <is>
          <t>5002 - Golden Pearl Body Spray 150ml</t>
        </is>
      </c>
      <c r="E5" s="4" t="n">
        <v>5002</v>
      </c>
      <c r="F5" s="5" t="inlineStr">
        <is>
          <t>Golden Pearl Cosmetics</t>
        </is>
      </c>
      <c r="G5" s="6" t="n">
        <v>15210</v>
      </c>
      <c r="H5" s="6" t="n">
        <v>14600</v>
      </c>
      <c r="I5" s="6" t="n">
        <v>610</v>
      </c>
      <c r="J5" s="23" t="n">
        <v>0.0401</v>
      </c>
      <c r="K5" s="24" t="n">
        <v>0.75</v>
      </c>
      <c r="L5" s="3" t="inlineStr">
        <is>
          <t>Night Shift - M. Aslam - OPV coater doctor blade adjustment</t>
        </is>
      </c>
    </row>
    <row r="6" ht="20.1" customHeight="1">
      <c r="A6" s="1" t="inlineStr">
        <is>
          <t>2026-09-09</t>
        </is>
      </c>
      <c r="B6" s="2" t="inlineStr">
        <is>
          <t>Continuous Line 1</t>
        </is>
      </c>
      <c r="C6" s="2" t="inlineStr">
        <is>
          <t>POF-2026-081</t>
        </is>
      </c>
      <c r="D6" s="3" t="inlineStr">
        <is>
          <t>5002 - Golden Pearl Body Spray 150ml</t>
        </is>
      </c>
      <c r="E6" s="4" t="n">
        <v>5002</v>
      </c>
      <c r="F6" s="5" t="inlineStr">
        <is>
          <t>Golden Pearl Cosmetics</t>
        </is>
      </c>
      <c r="G6" s="6" t="n">
        <v>15740</v>
      </c>
      <c r="H6" s="6" t="n">
        <v>15200</v>
      </c>
      <c r="I6" s="6" t="n">
        <v>540</v>
      </c>
      <c r="J6" s="23" t="n">
        <v>0.0343</v>
      </c>
      <c r="K6" s="24" t="n">
        <v>0.5</v>
      </c>
      <c r="L6" s="3" t="inlineStr">
        <is>
          <t>Day Shift - Tariq Mahmood - Curing oven temperature stabilization</t>
        </is>
      </c>
    </row>
    <row r="7" ht="20.1" customHeight="1">
      <c r="A7" s="1" t="inlineStr">
        <is>
          <t>2026-09-09</t>
        </is>
      </c>
      <c r="B7" s="2" t="inlineStr">
        <is>
          <t>Continuous Line 1</t>
        </is>
      </c>
      <c r="C7" s="2" t="inlineStr">
        <is>
          <t>POF-2026-081</t>
        </is>
      </c>
      <c r="D7" s="3" t="inlineStr">
        <is>
          <t>5002 - Golden Pearl Body Spray 150ml</t>
        </is>
      </c>
      <c r="E7" s="4" t="n">
        <v>5002</v>
      </c>
      <c r="F7" s="5" t="inlineStr">
        <is>
          <t>Golden Pearl Cosmetics</t>
        </is>
      </c>
      <c r="G7" s="6" t="n">
        <v>15640</v>
      </c>
      <c r="H7" s="6" t="n">
        <v>15050</v>
      </c>
      <c r="I7" s="6" t="n">
        <v>590</v>
      </c>
      <c r="J7" s="23" t="n">
        <v>0.0377</v>
      </c>
      <c r="K7" s="24" t="n">
        <v>0.5</v>
      </c>
      <c r="L7" s="3" t="inlineStr">
        <is>
          <t>Night Shift - M. Aslam - Necker guide rail wiper change</t>
        </is>
      </c>
    </row>
    <row r="8" ht="20.1" customHeight="1">
      <c r="A8" s="1" t="inlineStr">
        <is>
          <t>2026-09-10</t>
        </is>
      </c>
      <c r="B8" s="2" t="inlineStr">
        <is>
          <t>Continuous Line 1</t>
        </is>
      </c>
      <c r="C8" s="2" t="inlineStr">
        <is>
          <t>POF-2026-081</t>
        </is>
      </c>
      <c r="D8" s="3" t="inlineStr">
        <is>
          <t>5002 - Golden Pearl Body Spray 150ml</t>
        </is>
      </c>
      <c r="E8" s="4" t="n">
        <v>5002</v>
      </c>
      <c r="F8" s="5" t="inlineStr">
        <is>
          <t>Golden Pearl Cosmetics</t>
        </is>
      </c>
      <c r="G8" s="6" t="n">
        <v>15980</v>
      </c>
      <c r="H8" s="6" t="n">
        <v>15500</v>
      </c>
      <c r="I8" s="6" t="n">
        <v>480</v>
      </c>
      <c r="J8" s="23" t="n">
        <v>0.03</v>
      </c>
      <c r="K8" s="24" t="n">
        <v>0.25</v>
      </c>
      <c r="L8" s="3" t="inlineStr">
        <is>
          <t>Day Shift - Tariq Mahmood - Slug feeder refill</t>
        </is>
      </c>
    </row>
    <row r="9" ht="20.1" customHeight="1">
      <c r="A9" s="1" t="inlineStr">
        <is>
          <t>2026-09-10</t>
        </is>
      </c>
      <c r="B9" s="2" t="inlineStr">
        <is>
          <t>Continuous Line 1</t>
        </is>
      </c>
      <c r="C9" s="2" t="inlineStr">
        <is>
          <t>POF-2026-081</t>
        </is>
      </c>
      <c r="D9" s="3" t="inlineStr">
        <is>
          <t>5002 - Golden Pearl Body Spray 150ml</t>
        </is>
      </c>
      <c r="E9" s="4" t="n">
        <v>5002</v>
      </c>
      <c r="F9" s="5" t="inlineStr">
        <is>
          <t>Golden Pearl Cosmetics</t>
        </is>
      </c>
      <c r="G9" s="6" t="n">
        <v>15420</v>
      </c>
      <c r="H9" s="6" t="n">
        <v>14900</v>
      </c>
      <c r="I9" s="6" t="n">
        <v>520</v>
      </c>
      <c r="J9" s="23" t="n">
        <v>0.0337</v>
      </c>
      <c r="K9" s="24" t="n">
        <v>0.5</v>
      </c>
      <c r="L9" s="3" t="inlineStr">
        <is>
          <t>Night Shift - M. Aslam - Printer ink station 2 top-up</t>
        </is>
      </c>
    </row>
    <row r="10" ht="20.1" customHeight="1">
      <c r="A10" s="1" t="inlineStr">
        <is>
          <t>2026-09-11</t>
        </is>
      </c>
      <c r="B10" s="2" t="inlineStr">
        <is>
          <t>Continuous Line 1</t>
        </is>
      </c>
      <c r="C10" s="2" t="inlineStr">
        <is>
          <t>POF-2026-081</t>
        </is>
      </c>
      <c r="D10" s="3" t="inlineStr">
        <is>
          <t>5002 - Golden Pearl Body Spray 150ml</t>
        </is>
      </c>
      <c r="E10" s="4" t="n">
        <v>5002</v>
      </c>
      <c r="F10" s="5" t="inlineStr">
        <is>
          <t>Golden Pearl Cosmetics</t>
        </is>
      </c>
      <c r="G10" s="6" t="n">
        <v>16040</v>
      </c>
      <c r="H10" s="6" t="n">
        <v>15600</v>
      </c>
      <c r="I10" s="6" t="n">
        <v>440</v>
      </c>
      <c r="J10" s="23" t="n">
        <v>0.0274</v>
      </c>
      <c r="K10" s="24" t="n">
        <v>0.25</v>
      </c>
      <c r="L10" s="3" t="inlineStr">
        <is>
          <t>Day Shift - Tariq Mahmood - Scheduled line lubrication</t>
        </is>
      </c>
    </row>
    <row r="11" ht="20.1" customHeight="1">
      <c r="A11" s="1" t="inlineStr">
        <is>
          <t>2026-09-11</t>
        </is>
      </c>
      <c r="B11" s="2" t="inlineStr">
        <is>
          <t>Continuous Line 1</t>
        </is>
      </c>
      <c r="C11" s="2" t="inlineStr">
        <is>
          <t>POF-2026-081</t>
        </is>
      </c>
      <c r="D11" s="3" t="inlineStr">
        <is>
          <t>5002 - Golden Pearl Body Spray 150ml</t>
        </is>
      </c>
      <c r="E11" s="4" t="n">
        <v>5002</v>
      </c>
      <c r="F11" s="5" t="inlineStr">
        <is>
          <t>Golden Pearl Cosmetics</t>
        </is>
      </c>
      <c r="G11" s="6" t="n">
        <v>15790</v>
      </c>
      <c r="H11" s="6" t="n">
        <v>15300</v>
      </c>
      <c r="I11" s="6" t="n">
        <v>490</v>
      </c>
      <c r="J11" s="23" t="n">
        <v>0.031</v>
      </c>
      <c r="K11" s="24" t="n">
        <v>0.5</v>
      </c>
      <c r="L11" s="3" t="inlineStr">
        <is>
          <t>Night Shift - M. Aslam - Palletizer sensor cleaning</t>
        </is>
      </c>
    </row>
    <row r="12" ht="20.1" customHeight="1">
      <c r="A12" s="1" t="inlineStr">
        <is>
          <t>2026-09-12</t>
        </is>
      </c>
      <c r="B12" s="2" t="inlineStr">
        <is>
          <t>Continuous Line 1</t>
        </is>
      </c>
      <c r="C12" s="2" t="inlineStr">
        <is>
          <t>POF-2026-081</t>
        </is>
      </c>
      <c r="D12" s="3" t="inlineStr">
        <is>
          <t>5002 - Golden Pearl Body Spray 150ml</t>
        </is>
      </c>
      <c r="E12" s="4" t="n">
        <v>5002</v>
      </c>
      <c r="F12" s="5" t="inlineStr">
        <is>
          <t>Golden Pearl Cosmetics</t>
        </is>
      </c>
      <c r="G12" s="6" t="n">
        <v>8440</v>
      </c>
      <c r="H12" s="6" t="n">
        <v>8200</v>
      </c>
      <c r="I12" s="6" t="n">
        <v>240</v>
      </c>
      <c r="J12" s="23" t="n">
        <v>0.0284</v>
      </c>
      <c r="K12" s="24" t="n">
        <v>0.25</v>
      </c>
      <c r="L12" s="3" t="inlineStr">
        <is>
          <t>Day Shift - Tariq Mahmood - Press punch temperature check</t>
        </is>
      </c>
    </row>
    <row r="13" ht="20.1" customHeight="1">
      <c r="A13" s="1" t="inlineStr">
        <is>
          <t>2026-09-12</t>
        </is>
      </c>
      <c r="B13" s="2" t="inlineStr">
        <is>
          <t>Continuous Line 1</t>
        </is>
      </c>
      <c r="C13" s="2" t="inlineStr">
        <is>
          <t>POF-2026-081</t>
        </is>
      </c>
      <c r="D13" s="3" t="inlineStr">
        <is>
          <t>5002 - Golden Pearl Body Spray 150ml</t>
        </is>
      </c>
      <c r="E13" s="4" t="n">
        <v>5002</v>
      </c>
      <c r="F13" s="5" t="inlineStr">
        <is>
          <t>Golden Pearl Cosmetics</t>
        </is>
      </c>
      <c r="G13" s="6" t="n">
        <v>10350</v>
      </c>
      <c r="H13" s="6" t="n">
        <v>10000</v>
      </c>
      <c r="I13" s="6" t="n">
        <v>350</v>
      </c>
      <c r="J13" s="23" t="n">
        <v>0.0338</v>
      </c>
      <c r="K13" s="24" t="n">
        <v>0.5</v>
      </c>
      <c r="L13" s="3" t="inlineStr">
        <is>
          <t>Night Shift - Tariq Mahmood - Scheduled line lubrication</t>
        </is>
      </c>
    </row>
    <row r="14" ht="20.1" customHeight="1">
      <c r="A14" s="1" t="n"/>
      <c r="B14" s="2" t="n"/>
      <c r="C14" s="2" t="n"/>
      <c r="D14" s="3" t="n"/>
      <c r="E14" s="4">
        <f>IFERROR(VALUE(LEFT(D15,FIND(" - ",D15)-1)), "")</f>
        <v/>
      </c>
      <c r="F14" s="5">
        <f>IFERROR(VLOOKUP(E15,Product_Master!A:D,4,FALSE)&amp;"", "")</f>
        <v/>
      </c>
      <c r="G14" s="6" t="n"/>
      <c r="H14" s="6" t="n"/>
      <c r="I14" s="6" t="n"/>
      <c r="J14" s="7">
        <f>IF(OR(G15="",G15=0), "", IFERROR(I15/G15, ""))</f>
        <v/>
      </c>
      <c r="K14" s="6" t="n"/>
      <c r="L14" s="3" t="n"/>
    </row>
    <row r="15" ht="20.1" customHeight="1">
      <c r="A15" s="1" t="n"/>
      <c r="B15" s="2" t="n"/>
      <c r="C15" s="2" t="n"/>
      <c r="D15" s="3" t="n"/>
      <c r="E15" s="4">
        <f>IFERROR(VALUE(LEFT(D16,FIND(" - ",D16)-1)), "")</f>
        <v/>
      </c>
      <c r="F15" s="5">
        <f>IFERROR(VLOOKUP(E16,Product_Master!A:D,4,FALSE)&amp;"", "")</f>
        <v/>
      </c>
      <c r="G15" s="6" t="n"/>
      <c r="H15" s="6" t="n"/>
      <c r="I15" s="6" t="n"/>
      <c r="J15" s="7">
        <f>IF(OR(G16="",G16=0), "", IFERROR(I16/G16, ""))</f>
        <v/>
      </c>
      <c r="K15" s="6" t="n"/>
      <c r="L15" s="3" t="n"/>
    </row>
    <row r="16" ht="20.1" customHeight="1">
      <c r="A16" s="1" t="n"/>
      <c r="B16" s="2" t="n"/>
      <c r="C16" s="2" t="n"/>
      <c r="D16" s="3" t="n"/>
      <c r="E16" s="4">
        <f>IFERROR(VALUE(LEFT(D17,FIND(" - ",D17)-1)), "")</f>
        <v/>
      </c>
      <c r="F16" s="5">
        <f>IFERROR(VLOOKUP(E17,Product_Master!A:D,4,FALSE)&amp;"", "")</f>
        <v/>
      </c>
      <c r="G16" s="6" t="n"/>
      <c r="H16" s="6" t="n"/>
      <c r="I16" s="6" t="n"/>
      <c r="J16" s="7">
        <f>IF(OR(G17="",G17=0), "", IFERROR(I17/G17, ""))</f>
        <v/>
      </c>
      <c r="K16" s="6" t="n"/>
      <c r="L16" s="3" t="n"/>
    </row>
    <row r="17" ht="20.1" customHeight="1">
      <c r="A17" s="1" t="n"/>
      <c r="B17" s="2" t="n"/>
      <c r="C17" s="2" t="n"/>
      <c r="D17" s="3" t="n"/>
      <c r="E17" s="4">
        <f>IFERROR(VALUE(LEFT(D18,FIND(" - ",D18)-1)), "")</f>
        <v/>
      </c>
      <c r="F17" s="5">
        <f>IFERROR(VLOOKUP(E18,Product_Master!A:D,4,FALSE)&amp;"", "")</f>
        <v/>
      </c>
      <c r="G17" s="6" t="n"/>
      <c r="H17" s="6" t="n"/>
      <c r="I17" s="6" t="n"/>
      <c r="J17" s="7">
        <f>IF(OR(G18="",G18=0), "", IFERROR(I18/G18, ""))</f>
        <v/>
      </c>
      <c r="K17" s="6" t="n"/>
      <c r="L17" s="3" t="n"/>
    </row>
    <row r="18" ht="20.1" customHeight="1">
      <c r="A18" s="1" t="n"/>
      <c r="B18" s="2" t="n"/>
      <c r="C18" s="2" t="n"/>
      <c r="D18" s="3" t="n"/>
      <c r="E18" s="4">
        <f>IFERROR(VALUE(LEFT(D19,FIND(" - ",D19)-1)), "")</f>
        <v/>
      </c>
      <c r="F18" s="5">
        <f>IFERROR(VLOOKUP(E19,Product_Master!A:D,4,FALSE)&amp;"", "")</f>
        <v/>
      </c>
      <c r="G18" s="6" t="n"/>
      <c r="H18" s="6" t="n"/>
      <c r="I18" s="6" t="n"/>
      <c r="J18" s="7">
        <f>IF(OR(G19="",G19=0), "", IFERROR(I19/G19, ""))</f>
        <v/>
      </c>
      <c r="K18" s="6" t="n"/>
      <c r="L18" s="3" t="n"/>
    </row>
    <row r="19" ht="20.1" customHeight="1">
      <c r="A19" s="1" t="n"/>
      <c r="B19" s="2" t="n"/>
      <c r="C19" s="2" t="n"/>
      <c r="D19" s="3" t="n"/>
      <c r="E19" s="4">
        <f>IFERROR(VALUE(LEFT(D20,FIND(" - ",D20)-1)), "")</f>
        <v/>
      </c>
      <c r="F19" s="5">
        <f>IFERROR(VLOOKUP(E20,Product_Master!A:D,4,FALSE)&amp;"", "")</f>
        <v/>
      </c>
      <c r="G19" s="6" t="n"/>
      <c r="H19" s="6" t="n"/>
      <c r="I19" s="6" t="n"/>
      <c r="J19" s="7">
        <f>IF(OR(G20="",G20=0), "", IFERROR(I20/G20, ""))</f>
        <v/>
      </c>
      <c r="K19" s="6" t="n"/>
      <c r="L19" s="3" t="n"/>
    </row>
    <row r="20" ht="20.1" customHeight="1">
      <c r="A20" s="1" t="n"/>
      <c r="B20" s="2" t="n"/>
      <c r="C20" s="2" t="n"/>
      <c r="D20" s="3" t="n"/>
      <c r="E20" s="4">
        <f>IFERROR(VALUE(LEFT(D21,FIND(" - ",D21)-1)), "")</f>
        <v/>
      </c>
      <c r="F20" s="5">
        <f>IFERROR(VLOOKUP(E21,Product_Master!A:D,4,FALSE)&amp;"", "")</f>
        <v/>
      </c>
      <c r="G20" s="6" t="n"/>
      <c r="H20" s="6" t="n"/>
      <c r="I20" s="6" t="n"/>
      <c r="J20" s="7">
        <f>IF(OR(G21="",G21=0), "", IFERROR(I21/G21, ""))</f>
        <v/>
      </c>
      <c r="K20" s="6" t="n"/>
      <c r="L20" s="3" t="n"/>
    </row>
    <row r="21" ht="20.1" customHeight="1">
      <c r="A21" s="1" t="n"/>
      <c r="B21" s="2" t="n"/>
      <c r="C21" s="2" t="n"/>
      <c r="D21" s="3" t="n"/>
      <c r="E21" s="4">
        <f>IFERROR(VALUE(LEFT(D22,FIND(" - ",D22)-1)), "")</f>
        <v/>
      </c>
      <c r="F21" s="5">
        <f>IFERROR(VLOOKUP(E22,Product_Master!A:D,4,FALSE)&amp;"", "")</f>
        <v/>
      </c>
      <c r="G21" s="6" t="n"/>
      <c r="H21" s="6" t="n"/>
      <c r="I21" s="6" t="n"/>
      <c r="J21" s="7">
        <f>IF(OR(G22="",G22=0), "", IFERROR(I22/G22, ""))</f>
        <v/>
      </c>
      <c r="K21" s="6" t="n"/>
      <c r="L21" s="3" t="n"/>
    </row>
    <row r="22" ht="20.1" customHeight="1">
      <c r="A22" s="1" t="n"/>
      <c r="B22" s="2" t="n"/>
      <c r="C22" s="2" t="n"/>
      <c r="D22" s="3" t="n"/>
      <c r="E22" s="4">
        <f>IFERROR(VALUE(LEFT(D23,FIND(" - ",D23)-1)), "")</f>
        <v/>
      </c>
      <c r="F22" s="5">
        <f>IFERROR(VLOOKUP(E23,Product_Master!A:D,4,FALSE)&amp;"", "")</f>
        <v/>
      </c>
      <c r="G22" s="6" t="n"/>
      <c r="H22" s="6" t="n"/>
      <c r="I22" s="6" t="n"/>
      <c r="J22" s="7">
        <f>IF(OR(G23="",G23=0), "", IFERROR(I23/G23, ""))</f>
        <v/>
      </c>
      <c r="K22" s="6" t="n"/>
      <c r="L22" s="3" t="n"/>
    </row>
    <row r="23" ht="20.1" customHeight="1">
      <c r="A23" s="1" t="n"/>
      <c r="B23" s="2" t="n"/>
      <c r="C23" s="2" t="n"/>
      <c r="D23" s="3" t="n"/>
      <c r="E23" s="4">
        <f>IFERROR(VALUE(LEFT(D24,FIND(" - ",D24)-1)), "")</f>
        <v/>
      </c>
      <c r="F23" s="5">
        <f>IFERROR(VLOOKUP(E24,Product_Master!A:D,4,FALSE)&amp;"", "")</f>
        <v/>
      </c>
      <c r="G23" s="6" t="n"/>
      <c r="H23" s="6" t="n"/>
      <c r="I23" s="6" t="n"/>
      <c r="J23" s="7">
        <f>IF(OR(G24="",G24=0), "", IFERROR(I24/G24, ""))</f>
        <v/>
      </c>
      <c r="K23" s="6" t="n"/>
      <c r="L23" s="3" t="n"/>
    </row>
    <row r="24" ht="20.1" customHeight="1">
      <c r="A24" s="1" t="n"/>
      <c r="B24" s="2" t="n"/>
      <c r="C24" s="2" t="n"/>
      <c r="D24" s="3" t="n"/>
      <c r="E24" s="4">
        <f>IFERROR(VALUE(LEFT(D25,FIND(" - ",D25)-1)), "")</f>
        <v/>
      </c>
      <c r="F24" s="5">
        <f>IFERROR(VLOOKUP(E25,Product_Master!A:D,4,FALSE)&amp;"", "")</f>
        <v/>
      </c>
      <c r="G24" s="6" t="n"/>
      <c r="H24" s="6" t="n"/>
      <c r="I24" s="6" t="n"/>
      <c r="J24" s="7">
        <f>IF(OR(G25="",G25=0), "", IFERROR(I25/G25, ""))</f>
        <v/>
      </c>
      <c r="K24" s="6" t="n"/>
      <c r="L24" s="3" t="n"/>
    </row>
    <row r="25" ht="20.1" customHeight="1">
      <c r="A25" s="1" t="n"/>
      <c r="B25" s="2" t="n"/>
      <c r="C25" s="2" t="n"/>
      <c r="D25" s="3" t="n"/>
      <c r="E25" s="4">
        <f>IFERROR(VALUE(LEFT(D26,FIND(" - ",D26)-1)), "")</f>
        <v/>
      </c>
      <c r="F25" s="5">
        <f>IFERROR(VLOOKUP(E26,Product_Master!A:D,4,FALSE)&amp;"", "")</f>
        <v/>
      </c>
      <c r="G25" s="6" t="n"/>
      <c r="H25" s="6" t="n"/>
      <c r="I25" s="6" t="n"/>
      <c r="J25" s="7">
        <f>IF(OR(G26="",G26=0), "", IFERROR(I26/G26, ""))</f>
        <v/>
      </c>
      <c r="K25" s="6" t="n"/>
      <c r="L25" s="3" t="n"/>
    </row>
    <row r="26" ht="20.1" customHeight="1">
      <c r="A26" s="1" t="n"/>
      <c r="B26" s="2" t="n"/>
      <c r="C26" s="2" t="n"/>
      <c r="D26" s="3" t="n"/>
      <c r="E26" s="4">
        <f>IFERROR(VALUE(LEFT(D27,FIND(" - ",D27)-1)), "")</f>
        <v/>
      </c>
      <c r="F26" s="5">
        <f>IFERROR(VLOOKUP(E27,Product_Master!A:D,4,FALSE)&amp;"", "")</f>
        <v/>
      </c>
      <c r="G26" s="6" t="n"/>
      <c r="H26" s="6" t="n"/>
      <c r="I26" s="6" t="n"/>
      <c r="J26" s="7">
        <f>IF(OR(G27="",G27=0), "", IFERROR(I27/G27, ""))</f>
        <v/>
      </c>
      <c r="K26" s="6" t="n"/>
      <c r="L26" s="3" t="n"/>
    </row>
    <row r="27" ht="20.1" customHeight="1">
      <c r="A27" s="1" t="n"/>
      <c r="B27" s="2" t="n"/>
      <c r="C27" s="2" t="n"/>
      <c r="D27" s="3" t="n"/>
      <c r="E27" s="4">
        <f>IFERROR(VALUE(LEFT(D28,FIND(" - ",D28)-1)), "")</f>
        <v/>
      </c>
      <c r="F27" s="5">
        <f>IFERROR(VLOOKUP(E28,Product_Master!A:D,4,FALSE)&amp;"", "")</f>
        <v/>
      </c>
      <c r="G27" s="6" t="n"/>
      <c r="H27" s="6" t="n"/>
      <c r="I27" s="6" t="n"/>
      <c r="J27" s="7">
        <f>IF(OR(G28="",G28=0), "", IFERROR(I28/G28, ""))</f>
        <v/>
      </c>
      <c r="K27" s="6" t="n"/>
      <c r="L27" s="3" t="n"/>
    </row>
    <row r="28" ht="20.1" customHeight="1">
      <c r="A28" s="1" t="n"/>
      <c r="B28" s="2" t="n"/>
      <c r="C28" s="2" t="n"/>
      <c r="D28" s="3" t="n"/>
      <c r="E28" s="4">
        <f>IFERROR(VALUE(LEFT(D29,FIND(" - ",D29)-1)), "")</f>
        <v/>
      </c>
      <c r="F28" s="5">
        <f>IFERROR(VLOOKUP(E29,Product_Master!A:D,4,FALSE)&amp;"", "")</f>
        <v/>
      </c>
      <c r="G28" s="6" t="n"/>
      <c r="H28" s="6" t="n"/>
      <c r="I28" s="6" t="n"/>
      <c r="J28" s="7">
        <f>IF(OR(G29="",G29=0), "", IFERROR(I29/G29, ""))</f>
        <v/>
      </c>
      <c r="K28" s="6" t="n"/>
      <c r="L28" s="3" t="n"/>
    </row>
    <row r="29" ht="20.1" customHeight="1">
      <c r="A29" s="1" t="n"/>
      <c r="B29" s="2" t="n"/>
      <c r="C29" s="2" t="n"/>
      <c r="D29" s="3" t="n"/>
      <c r="E29" s="4">
        <f>IFERROR(VALUE(LEFT(D30,FIND(" - ",D30)-1)), "")</f>
        <v/>
      </c>
      <c r="F29" s="5">
        <f>IFERROR(VLOOKUP(E30,Product_Master!A:D,4,FALSE)&amp;"", "")</f>
        <v/>
      </c>
      <c r="G29" s="6" t="n"/>
      <c r="H29" s="6" t="n"/>
      <c r="I29" s="6" t="n"/>
      <c r="J29" s="7">
        <f>IF(OR(G30="",G30=0), "", IFERROR(I30/G30, ""))</f>
        <v/>
      </c>
      <c r="K29" s="6" t="n"/>
      <c r="L29" s="3" t="n"/>
    </row>
    <row r="30" ht="20.1" customHeight="1">
      <c r="A30" s="1" t="n"/>
      <c r="B30" s="2" t="n"/>
      <c r="C30" s="2" t="n"/>
      <c r="D30" s="3" t="n"/>
      <c r="E30" s="4">
        <f>IFERROR(VALUE(LEFT(D31,FIND(" - ",D31)-1)), "")</f>
        <v/>
      </c>
      <c r="F30" s="5">
        <f>IFERROR(VLOOKUP(E31,Product_Master!A:D,4,FALSE)&amp;"", "")</f>
        <v/>
      </c>
      <c r="G30" s="6" t="n"/>
      <c r="H30" s="6" t="n"/>
      <c r="I30" s="6" t="n"/>
      <c r="J30" s="7">
        <f>IF(OR(G31="",G31=0), "", IFERROR(I31/G31, ""))</f>
        <v/>
      </c>
      <c r="K30" s="6" t="n"/>
      <c r="L30" s="3" t="n"/>
    </row>
    <row r="31" ht="20.1" customHeight="1">
      <c r="A31" s="1" t="n"/>
      <c r="B31" s="2" t="n"/>
      <c r="C31" s="2" t="n"/>
      <c r="D31" s="3" t="n"/>
      <c r="E31" s="4">
        <f>IFERROR(VALUE(LEFT(D32,FIND(" - ",D32)-1)), "")</f>
        <v/>
      </c>
      <c r="F31" s="5">
        <f>IFERROR(VLOOKUP(E32,Product_Master!A:D,4,FALSE)&amp;"", "")</f>
        <v/>
      </c>
      <c r="G31" s="6" t="n"/>
      <c r="H31" s="6" t="n"/>
      <c r="I31" s="6" t="n"/>
      <c r="J31" s="7">
        <f>IF(OR(G32="",G32=0), "", IFERROR(I32/G32, ""))</f>
        <v/>
      </c>
      <c r="K31" s="6" t="n"/>
      <c r="L31" s="3" t="n"/>
    </row>
    <row r="32" ht="20.1" customHeight="1">
      <c r="A32" s="1" t="n"/>
      <c r="B32" s="2" t="n"/>
      <c r="C32" s="2" t="n"/>
      <c r="D32" s="3" t="n"/>
      <c r="E32" s="4">
        <f>IFERROR(VALUE(LEFT(D33,FIND(" - ",D33)-1)), "")</f>
        <v/>
      </c>
      <c r="F32" s="5">
        <f>IFERROR(VLOOKUP(E33,Product_Master!A:D,4,FALSE)&amp;"", "")</f>
        <v/>
      </c>
      <c r="G32" s="6" t="n"/>
      <c r="H32" s="6" t="n"/>
      <c r="I32" s="6" t="n"/>
      <c r="J32" s="7">
        <f>IF(OR(G33="",G33=0), "", IFERROR(I33/G33, ""))</f>
        <v/>
      </c>
      <c r="K32" s="6" t="n"/>
      <c r="L32" s="3" t="n"/>
    </row>
    <row r="33" ht="20.1" customHeight="1">
      <c r="A33" s="1" t="n"/>
      <c r="B33" s="2" t="n"/>
      <c r="C33" s="2" t="n"/>
      <c r="D33" s="3" t="n"/>
      <c r="E33" s="4">
        <f>IFERROR(VALUE(LEFT(D34,FIND(" - ",D34)-1)), "")</f>
        <v/>
      </c>
      <c r="F33" s="5">
        <f>IFERROR(VLOOKUP(E34,Product_Master!A:D,4,FALSE)&amp;"", "")</f>
        <v/>
      </c>
      <c r="G33" s="6" t="n"/>
      <c r="H33" s="6" t="n"/>
      <c r="I33" s="6" t="n"/>
      <c r="J33" s="7">
        <f>IF(OR(G34="",G34=0), "", IFERROR(I34/G34, ""))</f>
        <v/>
      </c>
      <c r="K33" s="6" t="n"/>
      <c r="L33" s="3" t="n"/>
    </row>
    <row r="34" ht="20.1" customHeight="1">
      <c r="A34" s="1" t="n"/>
      <c r="B34" s="2" t="n"/>
      <c r="C34" s="2" t="n"/>
      <c r="D34" s="3" t="n"/>
      <c r="E34" s="4">
        <f>IFERROR(VALUE(LEFT(D35,FIND(" - ",D35)-1)), "")</f>
        <v/>
      </c>
      <c r="F34" s="5">
        <f>IFERROR(VLOOKUP(E35,Product_Master!A:D,4,FALSE)&amp;"", "")</f>
        <v/>
      </c>
      <c r="G34" s="6" t="n"/>
      <c r="H34" s="6" t="n"/>
      <c r="I34" s="6" t="n"/>
      <c r="J34" s="7">
        <f>IF(OR(G35="",G35=0), "", IFERROR(I35/G35, ""))</f>
        <v/>
      </c>
      <c r="K34" s="6" t="n"/>
      <c r="L34" s="3" t="n"/>
    </row>
    <row r="35" ht="20.1" customHeight="1">
      <c r="A35" s="1" t="n"/>
      <c r="B35" s="2" t="n"/>
      <c r="C35" s="2" t="n"/>
      <c r="D35" s="3" t="n"/>
      <c r="E35" s="4">
        <f>IFERROR(VALUE(LEFT(D36,FIND(" - ",D36)-1)), "")</f>
        <v/>
      </c>
      <c r="F35" s="5">
        <f>IFERROR(VLOOKUP(E36,Product_Master!A:D,4,FALSE)&amp;"", "")</f>
        <v/>
      </c>
      <c r="G35" s="6" t="n"/>
      <c r="H35" s="6" t="n"/>
      <c r="I35" s="6" t="n"/>
      <c r="J35" s="7">
        <f>IF(OR(G36="",G36=0), "", IFERROR(I36/G36, ""))</f>
        <v/>
      </c>
      <c r="K35" s="6" t="n"/>
      <c r="L35" s="3" t="n"/>
    </row>
    <row r="36" ht="20.1" customHeight="1">
      <c r="A36" s="1" t="n"/>
      <c r="B36" s="2" t="n"/>
      <c r="C36" s="2" t="n"/>
      <c r="D36" s="3" t="n"/>
      <c r="E36" s="4">
        <f>IFERROR(VALUE(LEFT(D37,FIND(" - ",D37)-1)), "")</f>
        <v/>
      </c>
      <c r="F36" s="5">
        <f>IFERROR(VLOOKUP(E37,Product_Master!A:D,4,FALSE)&amp;"", "")</f>
        <v/>
      </c>
      <c r="G36" s="6" t="n"/>
      <c r="H36" s="6" t="n"/>
      <c r="I36" s="6" t="n"/>
      <c r="J36" s="7">
        <f>IF(OR(G37="",G37=0), "", IFERROR(I37/G37, ""))</f>
        <v/>
      </c>
      <c r="K36" s="6" t="n"/>
      <c r="L36" s="3" t="n"/>
    </row>
    <row r="37" ht="20.1" customHeight="1">
      <c r="A37" s="1" t="n"/>
      <c r="B37" s="2" t="n"/>
      <c r="C37" s="2" t="n"/>
      <c r="D37" s="3" t="n"/>
      <c r="E37" s="4">
        <f>IFERROR(VALUE(LEFT(D38,FIND(" - ",D38)-1)), "")</f>
        <v/>
      </c>
      <c r="F37" s="5">
        <f>IFERROR(VLOOKUP(E38,Product_Master!A:D,4,FALSE)&amp;"", "")</f>
        <v/>
      </c>
      <c r="G37" s="6" t="n"/>
      <c r="H37" s="6" t="n"/>
      <c r="I37" s="6" t="n"/>
      <c r="J37" s="7">
        <f>IF(OR(G38="",G38=0), "", IFERROR(I38/G38, ""))</f>
        <v/>
      </c>
      <c r="K37" s="6" t="n"/>
      <c r="L37" s="3" t="n"/>
    </row>
    <row r="38" ht="20.1" customHeight="1">
      <c r="A38" s="1" t="n"/>
      <c r="B38" s="2" t="n"/>
      <c r="C38" s="2" t="n"/>
      <c r="D38" s="3" t="n"/>
      <c r="E38" s="4">
        <f>IFERROR(VALUE(LEFT(D39,FIND(" - ",D39)-1)), "")</f>
        <v/>
      </c>
      <c r="F38" s="5">
        <f>IFERROR(VLOOKUP(E39,Product_Master!A:D,4,FALSE)&amp;"", "")</f>
        <v/>
      </c>
      <c r="G38" s="6" t="n"/>
      <c r="H38" s="6" t="n"/>
      <c r="I38" s="6" t="n"/>
      <c r="J38" s="7">
        <f>IF(OR(G39="",G39=0), "", IFERROR(I39/G39, ""))</f>
        <v/>
      </c>
      <c r="K38" s="6" t="n"/>
      <c r="L38" s="3" t="n"/>
    </row>
    <row r="39" ht="20.1" customHeight="1">
      <c r="A39" s="1" t="n"/>
      <c r="B39" s="2" t="n"/>
      <c r="C39" s="2" t="n"/>
      <c r="D39" s="3" t="n"/>
      <c r="E39" s="4">
        <f>IFERROR(VALUE(LEFT(D40,FIND(" - ",D40)-1)), "")</f>
        <v/>
      </c>
      <c r="F39" s="5">
        <f>IFERROR(VLOOKUP(E40,Product_Master!A:D,4,FALSE)&amp;"", "")</f>
        <v/>
      </c>
      <c r="G39" s="6" t="n"/>
      <c r="H39" s="6" t="n"/>
      <c r="I39" s="6" t="n"/>
      <c r="J39" s="7">
        <f>IF(OR(G40="",G40=0), "", IFERROR(I40/G40, ""))</f>
        <v/>
      </c>
      <c r="K39" s="6" t="n"/>
      <c r="L39" s="3" t="n"/>
    </row>
    <row r="40" ht="20.1" customHeight="1">
      <c r="A40" s="1" t="n"/>
      <c r="B40" s="2" t="n"/>
      <c r="C40" s="2" t="n"/>
      <c r="D40" s="3" t="n"/>
      <c r="E40" s="4">
        <f>IFERROR(VALUE(LEFT(D41,FIND(" - ",D41)-1)), "")</f>
        <v/>
      </c>
      <c r="F40" s="5">
        <f>IFERROR(VLOOKUP(E41,Product_Master!A:D,4,FALSE)&amp;"", "")</f>
        <v/>
      </c>
      <c r="G40" s="6" t="n"/>
      <c r="H40" s="6" t="n"/>
      <c r="I40" s="6" t="n"/>
      <c r="J40" s="7">
        <f>IF(OR(G41="",G41=0), "", IFERROR(I41/G41, ""))</f>
        <v/>
      </c>
      <c r="K40" s="6" t="n"/>
      <c r="L40" s="3" t="n"/>
    </row>
    <row r="41" ht="20.1" customHeight="1">
      <c r="A41" s="1" t="n"/>
      <c r="B41" s="2" t="n"/>
      <c r="C41" s="2" t="n"/>
      <c r="D41" s="3" t="n"/>
      <c r="E41" s="4">
        <f>IFERROR(VALUE(LEFT(D42,FIND(" - ",D42)-1)), "")</f>
        <v/>
      </c>
      <c r="F41" s="5">
        <f>IFERROR(VLOOKUP(E42,Product_Master!A:D,4,FALSE)&amp;"", "")</f>
        <v/>
      </c>
      <c r="G41" s="6" t="n"/>
      <c r="H41" s="6" t="n"/>
      <c r="I41" s="6" t="n"/>
      <c r="J41" s="7">
        <f>IF(OR(G42="",G42=0), "", IFERROR(I42/G42, ""))</f>
        <v/>
      </c>
      <c r="K41" s="6" t="n"/>
      <c r="L41" s="3" t="n"/>
    </row>
    <row r="42" ht="20.1" customHeight="1">
      <c r="A42" s="1" t="n"/>
      <c r="B42" s="2" t="n"/>
      <c r="C42" s="2" t="n"/>
      <c r="D42" s="3" t="n"/>
      <c r="E42" s="4">
        <f>IFERROR(VALUE(LEFT(D43,FIND(" - ",D43)-1)), "")</f>
        <v/>
      </c>
      <c r="F42" s="5">
        <f>IFERROR(VLOOKUP(E43,Product_Master!A:D,4,FALSE)&amp;"", "")</f>
        <v/>
      </c>
      <c r="G42" s="6" t="n"/>
      <c r="H42" s="6" t="n"/>
      <c r="I42" s="6" t="n"/>
      <c r="J42" s="7">
        <f>IF(OR(G43="",G43=0), "", IFERROR(I43/G43, ""))</f>
        <v/>
      </c>
      <c r="K42" s="6" t="n"/>
      <c r="L42" s="3" t="n"/>
    </row>
    <row r="43" ht="20.1" customHeight="1">
      <c r="A43" s="1" t="n"/>
      <c r="B43" s="2" t="n"/>
      <c r="C43" s="2" t="n"/>
      <c r="D43" s="3" t="n"/>
      <c r="E43" s="4">
        <f>IFERROR(VALUE(LEFT(D44,FIND(" - ",D44)-1)), "")</f>
        <v/>
      </c>
      <c r="F43" s="5">
        <f>IFERROR(VLOOKUP(E44,Product_Master!A:D,4,FALSE)&amp;"", "")</f>
        <v/>
      </c>
      <c r="G43" s="6" t="n"/>
      <c r="H43" s="6" t="n"/>
      <c r="I43" s="6" t="n"/>
      <c r="J43" s="7">
        <f>IF(OR(G44="",G44=0), "", IFERROR(I44/G44, ""))</f>
        <v/>
      </c>
      <c r="K43" s="6" t="n"/>
      <c r="L43" s="3" t="n"/>
    </row>
    <row r="44" ht="20.1" customHeight="1">
      <c r="A44" s="1" t="n"/>
      <c r="B44" s="2" t="n"/>
      <c r="C44" s="2" t="n"/>
      <c r="D44" s="3" t="n"/>
      <c r="E44" s="4">
        <f>IFERROR(VALUE(LEFT(D45,FIND(" - ",D45)-1)), "")</f>
        <v/>
      </c>
      <c r="F44" s="5">
        <f>IFERROR(VLOOKUP(E45,Product_Master!A:D,4,FALSE)&amp;"", "")</f>
        <v/>
      </c>
      <c r="G44" s="6" t="n"/>
      <c r="H44" s="6" t="n"/>
      <c r="I44" s="6" t="n"/>
      <c r="J44" s="7">
        <f>IF(OR(G45="",G45=0), "", IFERROR(I45/G45, ""))</f>
        <v/>
      </c>
      <c r="K44" s="6" t="n"/>
      <c r="L44" s="3" t="n"/>
    </row>
    <row r="45" ht="20.1" customHeight="1">
      <c r="A45" s="1" t="n"/>
      <c r="B45" s="2" t="n"/>
      <c r="C45" s="2" t="n"/>
      <c r="D45" s="3" t="n"/>
      <c r="E45" s="4">
        <f>IFERROR(VALUE(LEFT(D46,FIND(" - ",D46)-1)), "")</f>
        <v/>
      </c>
      <c r="F45" s="5">
        <f>IFERROR(VLOOKUP(E46,Product_Master!A:D,4,FALSE)&amp;"", "")</f>
        <v/>
      </c>
      <c r="G45" s="6" t="n"/>
      <c r="H45" s="6" t="n"/>
      <c r="I45" s="6" t="n"/>
      <c r="J45" s="7">
        <f>IF(OR(G46="",G46=0), "", IFERROR(I46/G46, ""))</f>
        <v/>
      </c>
      <c r="K45" s="6" t="n"/>
      <c r="L45" s="3" t="n"/>
    </row>
    <row r="46" ht="20.1" customHeight="1">
      <c r="A46" s="1" t="n"/>
      <c r="B46" s="2" t="n"/>
      <c r="C46" s="2" t="n"/>
      <c r="D46" s="3" t="n"/>
      <c r="E46" s="4">
        <f>IFERROR(VALUE(LEFT(D47,FIND(" - ",D47)-1)), "")</f>
        <v/>
      </c>
      <c r="F46" s="5">
        <f>IFERROR(VLOOKUP(E47,Product_Master!A:D,4,FALSE)&amp;"", "")</f>
        <v/>
      </c>
      <c r="G46" s="6" t="n"/>
      <c r="H46" s="6" t="n"/>
      <c r="I46" s="6" t="n"/>
      <c r="J46" s="7">
        <f>IF(OR(G47="",G47=0), "", IFERROR(I47/G47, ""))</f>
        <v/>
      </c>
      <c r="K46" s="6" t="n"/>
      <c r="L46" s="3" t="n"/>
    </row>
    <row r="47" ht="20.1" customHeight="1">
      <c r="A47" s="1" t="n"/>
      <c r="B47" s="2" t="n"/>
      <c r="C47" s="2" t="n"/>
      <c r="D47" s="3" t="n"/>
      <c r="E47" s="4">
        <f>IFERROR(VALUE(LEFT(D48,FIND(" - ",D48)-1)), "")</f>
        <v/>
      </c>
      <c r="F47" s="5">
        <f>IFERROR(VLOOKUP(E48,Product_Master!A:D,4,FALSE)&amp;"", "")</f>
        <v/>
      </c>
      <c r="G47" s="6" t="n"/>
      <c r="H47" s="6" t="n"/>
      <c r="I47" s="6" t="n"/>
      <c r="J47" s="7">
        <f>IF(OR(G48="",G48=0), "", IFERROR(I48/G48, ""))</f>
        <v/>
      </c>
      <c r="K47" s="6" t="n"/>
      <c r="L47" s="3" t="n"/>
    </row>
    <row r="48" ht="20.1" customHeight="1">
      <c r="A48" s="1" t="n"/>
      <c r="B48" s="2" t="n"/>
      <c r="C48" s="2" t="n"/>
      <c r="D48" s="3" t="n"/>
      <c r="E48" s="4">
        <f>IFERROR(VALUE(LEFT(D49,FIND(" - ",D49)-1)), "")</f>
        <v/>
      </c>
      <c r="F48" s="5">
        <f>IFERROR(VLOOKUP(E49,Product_Master!A:D,4,FALSE)&amp;"", "")</f>
        <v/>
      </c>
      <c r="G48" s="6" t="n"/>
      <c r="H48" s="6" t="n"/>
      <c r="I48" s="6" t="n"/>
      <c r="J48" s="7">
        <f>IF(OR(G49="",G49=0), "", IFERROR(I49/G49, ""))</f>
        <v/>
      </c>
      <c r="K48" s="6" t="n"/>
      <c r="L48" s="3" t="n"/>
    </row>
    <row r="49" ht="20.1" customHeight="1">
      <c r="A49" s="1" t="n"/>
      <c r="B49" s="2" t="n"/>
      <c r="C49" s="2" t="n"/>
      <c r="D49" s="3" t="n"/>
      <c r="E49" s="4">
        <f>IFERROR(VALUE(LEFT(D50,FIND(" - ",D50)-1)), "")</f>
        <v/>
      </c>
      <c r="F49" s="5">
        <f>IFERROR(VLOOKUP(E50,Product_Master!A:D,4,FALSE)&amp;"", "")</f>
        <v/>
      </c>
      <c r="G49" s="6" t="n"/>
      <c r="H49" s="6" t="n"/>
      <c r="I49" s="6" t="n"/>
      <c r="J49" s="7">
        <f>IF(OR(G50="",G50=0), "", IFERROR(I50/G50, ""))</f>
        <v/>
      </c>
      <c r="K49" s="6" t="n"/>
      <c r="L49" s="3" t="n"/>
    </row>
    <row r="50" ht="20.1" customHeight="1">
      <c r="A50" s="1" t="n"/>
      <c r="B50" s="2" t="n"/>
      <c r="C50" s="2" t="n"/>
      <c r="D50" s="3" t="n"/>
      <c r="E50" s="4">
        <f>IFERROR(VALUE(LEFT(D51,FIND(" - ",D51)-1)), "")</f>
        <v/>
      </c>
      <c r="F50" s="5">
        <f>IFERROR(VLOOKUP(E51,Product_Master!A:D,4,FALSE)&amp;"", "")</f>
        <v/>
      </c>
      <c r="G50" s="6" t="n"/>
      <c r="H50" s="6" t="n"/>
      <c r="I50" s="6" t="n"/>
      <c r="J50" s="7">
        <f>IF(OR(G51="",G51=0), "", IFERROR(I51/G51, ""))</f>
        <v/>
      </c>
      <c r="K50" s="6" t="n"/>
      <c r="L50" s="3" t="n"/>
    </row>
    <row r="51" ht="20.1" customHeight="1">
      <c r="A51" s="1" t="n"/>
      <c r="B51" s="2" t="n"/>
      <c r="C51" s="2" t="n"/>
      <c r="D51" s="3" t="n"/>
      <c r="E51" s="4">
        <f>IFERROR(VALUE(LEFT(D52,FIND(" - ",D52)-1)), "")</f>
        <v/>
      </c>
      <c r="F51" s="5">
        <f>IFERROR(VLOOKUP(E52,Product_Master!A:D,4,FALSE)&amp;"", "")</f>
        <v/>
      </c>
      <c r="G51" s="6" t="n"/>
      <c r="H51" s="6" t="n"/>
      <c r="I51" s="6" t="n"/>
      <c r="J51" s="7">
        <f>IF(OR(G52="",G52=0), "", IFERROR(I52/G52, ""))</f>
        <v/>
      </c>
      <c r="K51" s="6" t="n"/>
      <c r="L51" s="3" t="n"/>
    </row>
    <row r="52" ht="20.1" customHeight="1">
      <c r="A52" s="1" t="n"/>
      <c r="B52" s="2" t="n"/>
      <c r="C52" s="2" t="n"/>
      <c r="D52" s="3" t="n"/>
      <c r="E52" s="4">
        <f>IFERROR(VALUE(LEFT(D53,FIND(" - ",D53)-1)), "")</f>
        <v/>
      </c>
      <c r="F52" s="5">
        <f>IFERROR(VLOOKUP(E53,Product_Master!A:D,4,FALSE)&amp;"", "")</f>
        <v/>
      </c>
      <c r="G52" s="6" t="n"/>
      <c r="H52" s="6" t="n"/>
      <c r="I52" s="6" t="n"/>
      <c r="J52" s="7">
        <f>IF(OR(G53="",G53=0), "", IFERROR(I53/G53, ""))</f>
        <v/>
      </c>
      <c r="K52" s="6" t="n"/>
      <c r="L52" s="3" t="n"/>
    </row>
    <row r="53" ht="20.1" customHeight="1">
      <c r="A53" s="1" t="n"/>
      <c r="B53" s="2" t="n"/>
      <c r="C53" s="2" t="n"/>
      <c r="D53" s="3" t="n"/>
      <c r="E53" s="4">
        <f>IFERROR(VALUE(LEFT(D54,FIND(" - ",D54)-1)), "")</f>
        <v/>
      </c>
      <c r="F53" s="5">
        <f>IFERROR(VLOOKUP(E54,Product_Master!A:D,4,FALSE)&amp;"", "")</f>
        <v/>
      </c>
      <c r="G53" s="6" t="n"/>
      <c r="H53" s="6" t="n"/>
      <c r="I53" s="6" t="n"/>
      <c r="J53" s="7">
        <f>IF(OR(G54="",G54=0), "", IFERROR(I54/G54, ""))</f>
        <v/>
      </c>
      <c r="K53" s="6" t="n"/>
      <c r="L53" s="3" t="n"/>
    </row>
    <row r="54" ht="20.1" customHeight="1">
      <c r="A54" s="1" t="n"/>
      <c r="B54" s="2" t="n"/>
      <c r="C54" s="2" t="n"/>
      <c r="D54" s="3" t="n"/>
      <c r="E54" s="4">
        <f>IFERROR(VALUE(LEFT(D55,FIND(" - ",D55)-1)), "")</f>
        <v/>
      </c>
      <c r="F54" s="5">
        <f>IFERROR(VLOOKUP(E55,Product_Master!A:D,4,FALSE)&amp;"", "")</f>
        <v/>
      </c>
      <c r="G54" s="6" t="n"/>
      <c r="H54" s="6" t="n"/>
      <c r="I54" s="6" t="n"/>
      <c r="J54" s="7">
        <f>IF(OR(G55="",G55=0), "", IFERROR(I55/G55, ""))</f>
        <v/>
      </c>
      <c r="K54" s="6" t="n"/>
      <c r="L54" s="3" t="n"/>
    </row>
    <row r="55" ht="20.1" customHeight="1">
      <c r="A55" s="1" t="n"/>
      <c r="B55" s="2" t="n"/>
      <c r="C55" s="2" t="n"/>
      <c r="D55" s="3" t="n"/>
      <c r="E55" s="4">
        <f>IFERROR(VALUE(LEFT(D56,FIND(" - ",D56)-1)), "")</f>
        <v/>
      </c>
      <c r="F55" s="5">
        <f>IFERROR(VLOOKUP(E56,Product_Master!A:D,4,FALSE)&amp;"", "")</f>
        <v/>
      </c>
      <c r="G55" s="6" t="n"/>
      <c r="H55" s="6" t="n"/>
      <c r="I55" s="6" t="n"/>
      <c r="J55" s="7">
        <f>IF(OR(G56="",G56=0), "", IFERROR(I56/G56, ""))</f>
        <v/>
      </c>
      <c r="K55" s="6" t="n"/>
      <c r="L55" s="3" t="n"/>
    </row>
    <row r="56" ht="20.1" customHeight="1">
      <c r="A56" s="1" t="n"/>
      <c r="B56" s="2" t="n"/>
      <c r="C56" s="2" t="n"/>
      <c r="D56" s="3" t="n"/>
      <c r="E56" s="4">
        <f>IFERROR(VALUE(LEFT(D57,FIND(" - ",D57)-1)), "")</f>
        <v/>
      </c>
      <c r="F56" s="5">
        <f>IFERROR(VLOOKUP(E57,Product_Master!A:D,4,FALSE)&amp;"", "")</f>
        <v/>
      </c>
      <c r="G56" s="6" t="n"/>
      <c r="H56" s="6" t="n"/>
      <c r="I56" s="6" t="n"/>
      <c r="J56" s="7">
        <f>IF(OR(G57="",G57=0), "", IFERROR(I57/G57, ""))</f>
        <v/>
      </c>
      <c r="K56" s="6" t="n"/>
      <c r="L56" s="3" t="n"/>
    </row>
    <row r="57" ht="20.1" customHeight="1">
      <c r="A57" s="1" t="n"/>
      <c r="B57" s="2" t="n"/>
      <c r="C57" s="2" t="n"/>
      <c r="D57" s="3" t="n"/>
      <c r="E57" s="4">
        <f>IFERROR(VALUE(LEFT(D58,FIND(" - ",D58)-1)), "")</f>
        <v/>
      </c>
      <c r="F57" s="5">
        <f>IFERROR(VLOOKUP(E58,Product_Master!A:D,4,FALSE)&amp;"", "")</f>
        <v/>
      </c>
      <c r="G57" s="6" t="n"/>
      <c r="H57" s="6" t="n"/>
      <c r="I57" s="6" t="n"/>
      <c r="J57" s="7">
        <f>IF(OR(G58="",G58=0), "", IFERROR(I58/G58, ""))</f>
        <v/>
      </c>
      <c r="K57" s="6" t="n"/>
      <c r="L57" s="3" t="n"/>
    </row>
    <row r="58" ht="20.1" customHeight="1">
      <c r="A58" s="1" t="n"/>
      <c r="B58" s="2" t="n"/>
      <c r="C58" s="2" t="n"/>
      <c r="D58" s="3" t="n"/>
      <c r="E58" s="4">
        <f>IFERROR(VALUE(LEFT(D59,FIND(" - ",D59)-1)), "")</f>
        <v/>
      </c>
      <c r="F58" s="5">
        <f>IFERROR(VLOOKUP(E59,Product_Master!A:D,4,FALSE)&amp;"", "")</f>
        <v/>
      </c>
      <c r="G58" s="6" t="n"/>
      <c r="H58" s="6" t="n"/>
      <c r="I58" s="6" t="n"/>
      <c r="J58" s="7">
        <f>IF(OR(G59="",G59=0), "", IFERROR(I59/G59, ""))</f>
        <v/>
      </c>
      <c r="K58" s="6" t="n"/>
      <c r="L58" s="3" t="n"/>
    </row>
    <row r="59" ht="20.1" customHeight="1">
      <c r="A59" s="1" t="n"/>
      <c r="B59" s="2" t="n"/>
      <c r="C59" s="2" t="n"/>
      <c r="D59" s="3" t="n"/>
      <c r="E59" s="4">
        <f>IFERROR(VALUE(LEFT(D60,FIND(" - ",D60)-1)), "")</f>
        <v/>
      </c>
      <c r="F59" s="5">
        <f>IFERROR(VLOOKUP(E60,Product_Master!A:D,4,FALSE)&amp;"", "")</f>
        <v/>
      </c>
      <c r="G59" s="6" t="n"/>
      <c r="H59" s="6" t="n"/>
      <c r="I59" s="6" t="n"/>
      <c r="J59" s="7">
        <f>IF(OR(G60="",G60=0), "", IFERROR(I60/G60, ""))</f>
        <v/>
      </c>
      <c r="K59" s="6" t="n"/>
      <c r="L59" s="3" t="n"/>
    </row>
    <row r="60" ht="20.1" customHeight="1">
      <c r="A60" s="1" t="n"/>
      <c r="B60" s="2" t="n"/>
      <c r="C60" s="2" t="n"/>
      <c r="D60" s="3" t="n"/>
      <c r="E60" s="4">
        <f>IFERROR(VALUE(LEFT(D61,FIND(" - ",D61)-1)), "")</f>
        <v/>
      </c>
      <c r="F60" s="5">
        <f>IFERROR(VLOOKUP(E61,Product_Master!A:D,4,FALSE)&amp;"", "")</f>
        <v/>
      </c>
      <c r="G60" s="6" t="n"/>
      <c r="H60" s="6" t="n"/>
      <c r="I60" s="6" t="n"/>
      <c r="J60" s="7">
        <f>IF(OR(G61="",G61=0), "", IFERROR(I61/G61, ""))</f>
        <v/>
      </c>
      <c r="K60" s="6" t="n"/>
      <c r="L60" s="3" t="n"/>
    </row>
    <row r="61" ht="20.1" customHeight="1">
      <c r="A61" s="1" t="n"/>
      <c r="B61" s="2" t="n"/>
      <c r="C61" s="2" t="n"/>
      <c r="D61" s="3" t="n"/>
      <c r="E61" s="4">
        <f>IFERROR(VALUE(LEFT(D62,FIND(" - ",D62)-1)), "")</f>
        <v/>
      </c>
      <c r="F61" s="5">
        <f>IFERROR(VLOOKUP(E62,Product_Master!A:D,4,FALSE)&amp;"", "")</f>
        <v/>
      </c>
      <c r="G61" s="6" t="n"/>
      <c r="H61" s="6" t="n"/>
      <c r="I61" s="6" t="n"/>
      <c r="J61" s="7">
        <f>IF(OR(G62="",G62=0), "", IFERROR(I62/G62, ""))</f>
        <v/>
      </c>
      <c r="K61" s="6" t="n"/>
      <c r="L61" s="3" t="n"/>
    </row>
    <row r="62" ht="20.1" customHeight="1">
      <c r="A62" s="1" t="n"/>
      <c r="B62" s="2" t="n"/>
      <c r="C62" s="2" t="n"/>
      <c r="D62" s="3" t="n"/>
      <c r="E62" s="4">
        <f>IFERROR(VALUE(LEFT(D63,FIND(" - ",D63)-1)), "")</f>
        <v/>
      </c>
      <c r="F62" s="5">
        <f>IFERROR(VLOOKUP(E63,Product_Master!A:D,4,FALSE)&amp;"", "")</f>
        <v/>
      </c>
      <c r="G62" s="6" t="n"/>
      <c r="H62" s="6" t="n"/>
      <c r="I62" s="6" t="n"/>
      <c r="J62" s="7">
        <f>IF(OR(G63="",G63=0), "", IFERROR(I63/G63, ""))</f>
        <v/>
      </c>
      <c r="K62" s="6" t="n"/>
      <c r="L62" s="3" t="n"/>
    </row>
    <row r="63" ht="20.1" customHeight="1">
      <c r="A63" s="1" t="n"/>
      <c r="B63" s="2" t="n"/>
      <c r="C63" s="2" t="n"/>
      <c r="D63" s="3" t="n"/>
      <c r="E63" s="4">
        <f>IFERROR(VALUE(LEFT(D64,FIND(" - ",D64)-1)), "")</f>
        <v/>
      </c>
      <c r="F63" s="5">
        <f>IFERROR(VLOOKUP(E64,Product_Master!A:D,4,FALSE)&amp;"", "")</f>
        <v/>
      </c>
      <c r="G63" s="6" t="n"/>
      <c r="H63" s="6" t="n"/>
      <c r="I63" s="6" t="n"/>
      <c r="J63" s="7">
        <f>IF(OR(G64="",G64=0), "", IFERROR(I64/G64, ""))</f>
        <v/>
      </c>
      <c r="K63" s="6" t="n"/>
      <c r="L63" s="3" t="n"/>
    </row>
    <row r="64" ht="20.1" customHeight="1">
      <c r="A64" s="1" t="n"/>
      <c r="B64" s="2" t="n"/>
      <c r="C64" s="2" t="n"/>
      <c r="D64" s="3" t="n"/>
      <c r="E64" s="4">
        <f>IFERROR(VALUE(LEFT(D65,FIND(" - ",D65)-1)), "")</f>
        <v/>
      </c>
      <c r="F64" s="5">
        <f>IFERROR(VLOOKUP(E65,Product_Master!A:D,4,FALSE)&amp;"", "")</f>
        <v/>
      </c>
      <c r="G64" s="6" t="n"/>
      <c r="H64" s="6" t="n"/>
      <c r="I64" s="6" t="n"/>
      <c r="J64" s="7">
        <f>IF(OR(G65="",G65=0), "", IFERROR(I65/G65, ""))</f>
        <v/>
      </c>
      <c r="K64" s="6" t="n"/>
      <c r="L64" s="3" t="n"/>
    </row>
    <row r="65" ht="20.1" customHeight="1">
      <c r="A65" s="1" t="n"/>
      <c r="B65" s="2" t="n"/>
      <c r="C65" s="2" t="n"/>
      <c r="D65" s="3" t="n"/>
      <c r="E65" s="4">
        <f>IFERROR(VALUE(LEFT(D66,FIND(" - ",D66)-1)), "")</f>
        <v/>
      </c>
      <c r="F65" s="5">
        <f>IFERROR(VLOOKUP(E66,Product_Master!A:D,4,FALSE)&amp;"", "")</f>
        <v/>
      </c>
      <c r="G65" s="6" t="n"/>
      <c r="H65" s="6" t="n"/>
      <c r="I65" s="6" t="n"/>
      <c r="J65" s="7">
        <f>IF(OR(G66="",G66=0), "", IFERROR(I66/G66, ""))</f>
        <v/>
      </c>
      <c r="K65" s="6" t="n"/>
      <c r="L65" s="3" t="n"/>
    </row>
    <row r="66" ht="20.1" customHeight="1">
      <c r="A66" s="1" t="n"/>
      <c r="B66" s="2" t="n"/>
      <c r="C66" s="2" t="n"/>
      <c r="D66" s="3" t="n"/>
      <c r="E66" s="4">
        <f>IFERROR(VALUE(LEFT(D67,FIND(" - ",D67)-1)), "")</f>
        <v/>
      </c>
      <c r="F66" s="5">
        <f>IFERROR(VLOOKUP(E67,Product_Master!A:D,4,FALSE)&amp;"", "")</f>
        <v/>
      </c>
      <c r="G66" s="6" t="n"/>
      <c r="H66" s="6" t="n"/>
      <c r="I66" s="6" t="n"/>
      <c r="J66" s="7">
        <f>IF(OR(G67="",G67=0), "", IFERROR(I67/G67, ""))</f>
        <v/>
      </c>
      <c r="K66" s="6" t="n"/>
      <c r="L66" s="3" t="n"/>
    </row>
    <row r="67" ht="20.1" customHeight="1">
      <c r="A67" s="1" t="n"/>
      <c r="B67" s="2" t="n"/>
      <c r="C67" s="2" t="n"/>
      <c r="D67" s="3" t="n"/>
      <c r="E67" s="4">
        <f>IFERROR(VALUE(LEFT(D68,FIND(" - ",D68)-1)), "")</f>
        <v/>
      </c>
      <c r="F67" s="5">
        <f>IFERROR(VLOOKUP(E68,Product_Master!A:D,4,FALSE)&amp;"", "")</f>
        <v/>
      </c>
      <c r="G67" s="6" t="n"/>
      <c r="H67" s="6" t="n"/>
      <c r="I67" s="6" t="n"/>
      <c r="J67" s="7">
        <f>IF(OR(G68="",G68=0), "", IFERROR(I68/G68, ""))</f>
        <v/>
      </c>
      <c r="K67" s="6" t="n"/>
      <c r="L67" s="3" t="n"/>
    </row>
    <row r="68" ht="20.1" customHeight="1">
      <c r="A68" s="1" t="n"/>
      <c r="B68" s="2" t="n"/>
      <c r="C68" s="2" t="n"/>
      <c r="D68" s="3" t="n"/>
      <c r="E68" s="4">
        <f>IFERROR(VALUE(LEFT(D69,FIND(" - ",D69)-1)), "")</f>
        <v/>
      </c>
      <c r="F68" s="5">
        <f>IFERROR(VLOOKUP(E69,Product_Master!A:D,4,FALSE)&amp;"", "")</f>
        <v/>
      </c>
      <c r="G68" s="6" t="n"/>
      <c r="H68" s="6" t="n"/>
      <c r="I68" s="6" t="n"/>
      <c r="J68" s="7">
        <f>IF(OR(G69="",G69=0), "", IFERROR(I69/G69, ""))</f>
        <v/>
      </c>
      <c r="K68" s="6" t="n"/>
      <c r="L68" s="3" t="n"/>
    </row>
    <row r="69" ht="20.1" customHeight="1">
      <c r="A69" s="1" t="n"/>
      <c r="B69" s="2" t="n"/>
      <c r="C69" s="2" t="n"/>
      <c r="D69" s="3" t="n"/>
      <c r="E69" s="4">
        <f>IFERROR(VALUE(LEFT(D70,FIND(" - ",D70)-1)), "")</f>
        <v/>
      </c>
      <c r="F69" s="5">
        <f>IFERROR(VLOOKUP(E70,Product_Master!A:D,4,FALSE)&amp;"", "")</f>
        <v/>
      </c>
      <c r="G69" s="6" t="n"/>
      <c r="H69" s="6" t="n"/>
      <c r="I69" s="6" t="n"/>
      <c r="J69" s="7">
        <f>IF(OR(G70="",G70=0), "", IFERROR(I70/G70, ""))</f>
        <v/>
      </c>
      <c r="K69" s="6" t="n"/>
      <c r="L69" s="3" t="n"/>
    </row>
    <row r="70" ht="20.1" customHeight="1">
      <c r="A70" s="1" t="n"/>
      <c r="B70" s="2" t="n"/>
      <c r="C70" s="2" t="n"/>
      <c r="D70" s="3" t="n"/>
      <c r="E70" s="4">
        <f>IFERROR(VALUE(LEFT(D71,FIND(" - ",D71)-1)), "")</f>
        <v/>
      </c>
      <c r="F70" s="5">
        <f>IFERROR(VLOOKUP(E71,Product_Master!A:D,4,FALSE)&amp;"", "")</f>
        <v/>
      </c>
      <c r="G70" s="6" t="n"/>
      <c r="H70" s="6" t="n"/>
      <c r="I70" s="6" t="n"/>
      <c r="J70" s="7">
        <f>IF(OR(G71="",G71=0), "", IFERROR(I71/G71, ""))</f>
        <v/>
      </c>
      <c r="K70" s="6" t="n"/>
      <c r="L70" s="3" t="n"/>
    </row>
    <row r="71" ht="20.1" customHeight="1">
      <c r="A71" s="1" t="n"/>
      <c r="B71" s="2" t="n"/>
      <c r="C71" s="2" t="n"/>
      <c r="D71" s="3" t="n"/>
      <c r="E71" s="4">
        <f>IFERROR(VALUE(LEFT(D72,FIND(" - ",D72)-1)), "")</f>
        <v/>
      </c>
      <c r="F71" s="5">
        <f>IFERROR(VLOOKUP(E72,Product_Master!A:D,4,FALSE)&amp;"", "")</f>
        <v/>
      </c>
      <c r="G71" s="6" t="n"/>
      <c r="H71" s="6" t="n"/>
      <c r="I71" s="6" t="n"/>
      <c r="J71" s="7">
        <f>IF(OR(G72="",G72=0), "", IFERROR(I72/G72, ""))</f>
        <v/>
      </c>
      <c r="K71" s="6" t="n"/>
      <c r="L71" s="3" t="n"/>
    </row>
    <row r="72" ht="20.1" customHeight="1">
      <c r="A72" s="1" t="n"/>
      <c r="B72" s="2" t="n"/>
      <c r="C72" s="2" t="n"/>
      <c r="D72" s="3" t="n"/>
      <c r="E72" s="4">
        <f>IFERROR(VALUE(LEFT(D73,FIND(" - ",D73)-1)), "")</f>
        <v/>
      </c>
      <c r="F72" s="5">
        <f>IFERROR(VLOOKUP(E73,Product_Master!A:D,4,FALSE)&amp;"", "")</f>
        <v/>
      </c>
      <c r="G72" s="6" t="n"/>
      <c r="H72" s="6" t="n"/>
      <c r="I72" s="6" t="n"/>
      <c r="J72" s="7">
        <f>IF(OR(G73="",G73=0), "", IFERROR(I73/G73, ""))</f>
        <v/>
      </c>
      <c r="K72" s="6" t="n"/>
      <c r="L72" s="3" t="n"/>
    </row>
    <row r="73" ht="20.1" customHeight="1">
      <c r="A73" s="1" t="n"/>
      <c r="B73" s="2" t="n"/>
      <c r="C73" s="2" t="n"/>
      <c r="D73" s="3" t="n"/>
      <c r="E73" s="4">
        <f>IFERROR(VALUE(LEFT(D74,FIND(" - ",D74)-1)), "")</f>
        <v/>
      </c>
      <c r="F73" s="5">
        <f>IFERROR(VLOOKUP(E74,Product_Master!A:D,4,FALSE)&amp;"", "")</f>
        <v/>
      </c>
      <c r="G73" s="6" t="n"/>
      <c r="H73" s="6" t="n"/>
      <c r="I73" s="6" t="n"/>
      <c r="J73" s="7">
        <f>IF(OR(G74="",G74=0), "", IFERROR(I74/G74, ""))</f>
        <v/>
      </c>
      <c r="K73" s="6" t="n"/>
      <c r="L73" s="3" t="n"/>
    </row>
    <row r="74" ht="20.1" customHeight="1">
      <c r="A74" s="1" t="n"/>
      <c r="B74" s="2" t="n"/>
      <c r="C74" s="2" t="n"/>
      <c r="D74" s="3" t="n"/>
      <c r="E74" s="4">
        <f>IFERROR(VALUE(LEFT(D75,FIND(" - ",D75)-1)), "")</f>
        <v/>
      </c>
      <c r="F74" s="5">
        <f>IFERROR(VLOOKUP(E75,Product_Master!A:D,4,FALSE)&amp;"", "")</f>
        <v/>
      </c>
      <c r="G74" s="6" t="n"/>
      <c r="H74" s="6" t="n"/>
      <c r="I74" s="6" t="n"/>
      <c r="J74" s="7">
        <f>IF(OR(G75="",G75=0), "", IFERROR(I75/G75, ""))</f>
        <v/>
      </c>
      <c r="K74" s="6" t="n"/>
      <c r="L74" s="3" t="n"/>
    </row>
    <row r="75" ht="20.1" customHeight="1">
      <c r="A75" s="1" t="n"/>
      <c r="B75" s="2" t="n"/>
      <c r="C75" s="2" t="n"/>
      <c r="D75" s="3" t="n"/>
      <c r="E75" s="4">
        <f>IFERROR(VALUE(LEFT(D76,FIND(" - ",D76)-1)), "")</f>
        <v/>
      </c>
      <c r="F75" s="5">
        <f>IFERROR(VLOOKUP(E76,Product_Master!A:D,4,FALSE)&amp;"", "")</f>
        <v/>
      </c>
      <c r="G75" s="6" t="n"/>
      <c r="H75" s="6" t="n"/>
      <c r="I75" s="6" t="n"/>
      <c r="J75" s="7">
        <f>IF(OR(G76="",G76=0), "", IFERROR(I76/G76, ""))</f>
        <v/>
      </c>
      <c r="K75" s="6" t="n"/>
      <c r="L75" s="3" t="n"/>
    </row>
    <row r="76" ht="20.1" customHeight="1">
      <c r="A76" s="1" t="n"/>
      <c r="B76" s="2" t="n"/>
      <c r="C76" s="2" t="n"/>
      <c r="D76" s="3" t="n"/>
      <c r="E76" s="4">
        <f>IFERROR(VALUE(LEFT(D77,FIND(" - ",D77)-1)), "")</f>
        <v/>
      </c>
      <c r="F76" s="5">
        <f>IFERROR(VLOOKUP(E77,Product_Master!A:D,4,FALSE)&amp;"", "")</f>
        <v/>
      </c>
      <c r="G76" s="6" t="n"/>
      <c r="H76" s="6" t="n"/>
      <c r="I76" s="6" t="n"/>
      <c r="J76" s="7">
        <f>IF(OR(G77="",G77=0), "", IFERROR(I77/G77, ""))</f>
        <v/>
      </c>
      <c r="K76" s="6" t="n"/>
      <c r="L76" s="3" t="n"/>
    </row>
    <row r="77" ht="20.1" customHeight="1">
      <c r="A77" s="1" t="n"/>
      <c r="B77" s="2" t="n"/>
      <c r="C77" s="2" t="n"/>
      <c r="D77" s="3" t="n"/>
      <c r="E77" s="4">
        <f>IFERROR(VALUE(LEFT(D78,FIND(" - ",D78)-1)), "")</f>
        <v/>
      </c>
      <c r="F77" s="5">
        <f>IFERROR(VLOOKUP(E78,Product_Master!A:D,4,FALSE)&amp;"", "")</f>
        <v/>
      </c>
      <c r="G77" s="6" t="n"/>
      <c r="H77" s="6" t="n"/>
      <c r="I77" s="6" t="n"/>
      <c r="J77" s="7">
        <f>IF(OR(G78="",G78=0), "", IFERROR(I78/G78, ""))</f>
        <v/>
      </c>
      <c r="K77" s="6" t="n"/>
      <c r="L77" s="3" t="n"/>
    </row>
    <row r="78" ht="20.1" customHeight="1">
      <c r="A78" s="1" t="n"/>
      <c r="B78" s="2" t="n"/>
      <c r="C78" s="2" t="n"/>
      <c r="D78" s="3" t="n"/>
      <c r="E78" s="4">
        <f>IFERROR(VALUE(LEFT(D79,FIND(" - ",D79)-1)), "")</f>
        <v/>
      </c>
      <c r="F78" s="5">
        <f>IFERROR(VLOOKUP(E79,Product_Master!A:D,4,FALSE)&amp;"", "")</f>
        <v/>
      </c>
      <c r="G78" s="6" t="n"/>
      <c r="H78" s="6" t="n"/>
      <c r="I78" s="6" t="n"/>
      <c r="J78" s="7">
        <f>IF(OR(G79="",G79=0), "", IFERROR(I79/G79, ""))</f>
        <v/>
      </c>
      <c r="K78" s="6" t="n"/>
      <c r="L78" s="3" t="n"/>
    </row>
    <row r="79" ht="20.1" customHeight="1">
      <c r="A79" s="1" t="n"/>
      <c r="B79" s="2" t="n"/>
      <c r="C79" s="2" t="n"/>
      <c r="D79" s="3" t="n"/>
      <c r="E79" s="4">
        <f>IFERROR(VALUE(LEFT(D80,FIND(" - ",D80)-1)), "")</f>
        <v/>
      </c>
      <c r="F79" s="5">
        <f>IFERROR(VLOOKUP(E80,Product_Master!A:D,4,FALSE)&amp;"", "")</f>
        <v/>
      </c>
      <c r="G79" s="6" t="n"/>
      <c r="H79" s="6" t="n"/>
      <c r="I79" s="6" t="n"/>
      <c r="J79" s="7">
        <f>IF(OR(G80="",G80=0), "", IFERROR(I80/G80, ""))</f>
        <v/>
      </c>
      <c r="K79" s="6" t="n"/>
      <c r="L79" s="3" t="n"/>
    </row>
    <row r="80" ht="20.1" customHeight="1">
      <c r="A80" s="1" t="n"/>
      <c r="B80" s="2" t="n"/>
      <c r="C80" s="2" t="n"/>
      <c r="D80" s="3" t="n"/>
      <c r="E80" s="4">
        <f>IFERROR(VALUE(LEFT(D81,FIND(" - ",D81)-1)), "")</f>
        <v/>
      </c>
      <c r="F80" s="5">
        <f>IFERROR(VLOOKUP(E81,Product_Master!A:D,4,FALSE)&amp;"", "")</f>
        <v/>
      </c>
      <c r="G80" s="6" t="n"/>
      <c r="H80" s="6" t="n"/>
      <c r="I80" s="6" t="n"/>
      <c r="J80" s="7">
        <f>IF(OR(G81="",G81=0), "", IFERROR(I81/G81, ""))</f>
        <v/>
      </c>
      <c r="K80" s="6" t="n"/>
      <c r="L80" s="3" t="n"/>
    </row>
    <row r="81" ht="20.1" customHeight="1">
      <c r="A81" s="1" t="n"/>
      <c r="B81" s="2" t="n"/>
      <c r="C81" s="2" t="n"/>
      <c r="D81" s="3" t="n"/>
      <c r="E81" s="4">
        <f>IFERROR(VALUE(LEFT(D82,FIND(" - ",D82)-1)), "")</f>
        <v/>
      </c>
      <c r="F81" s="5">
        <f>IFERROR(VLOOKUP(E82,Product_Master!A:D,4,FALSE)&amp;"", "")</f>
        <v/>
      </c>
      <c r="G81" s="6" t="n"/>
      <c r="H81" s="6" t="n"/>
      <c r="I81" s="6" t="n"/>
      <c r="J81" s="7">
        <f>IF(OR(G82="",G82=0), "", IFERROR(I82/G82, ""))</f>
        <v/>
      </c>
      <c r="K81" s="6" t="n"/>
      <c r="L81" s="3" t="n"/>
    </row>
    <row r="82" ht="20.1" customHeight="1">
      <c r="A82" s="1" t="n"/>
      <c r="B82" s="2" t="n"/>
      <c r="C82" s="2" t="n"/>
      <c r="D82" s="3" t="n"/>
      <c r="E82" s="4">
        <f>IFERROR(VALUE(LEFT(D83,FIND(" - ",D83)-1)), "")</f>
        <v/>
      </c>
      <c r="F82" s="5">
        <f>IFERROR(VLOOKUP(E83,Product_Master!A:D,4,FALSE)&amp;"", "")</f>
        <v/>
      </c>
      <c r="G82" s="6" t="n"/>
      <c r="H82" s="6" t="n"/>
      <c r="I82" s="6" t="n"/>
      <c r="J82" s="7">
        <f>IF(OR(G83="",G83=0), "", IFERROR(I83/G83, ""))</f>
        <v/>
      </c>
      <c r="K82" s="6" t="n"/>
      <c r="L82" s="3" t="n"/>
    </row>
    <row r="83" ht="20.1" customHeight="1">
      <c r="A83" s="1" t="n"/>
      <c r="B83" s="2" t="n"/>
      <c r="C83" s="2" t="n"/>
      <c r="D83" s="3" t="n"/>
      <c r="E83" s="4">
        <f>IFERROR(VALUE(LEFT(D84,FIND(" - ",D84)-1)), "")</f>
        <v/>
      </c>
      <c r="F83" s="5">
        <f>IFERROR(VLOOKUP(E84,Product_Master!A:D,4,FALSE)&amp;"", "")</f>
        <v/>
      </c>
      <c r="G83" s="6" t="n"/>
      <c r="H83" s="6" t="n"/>
      <c r="I83" s="6" t="n"/>
      <c r="J83" s="7">
        <f>IF(OR(G84="",G84=0), "", IFERROR(I84/G84, ""))</f>
        <v/>
      </c>
      <c r="K83" s="6" t="n"/>
      <c r="L83" s="3" t="n"/>
    </row>
    <row r="84" ht="20.1" customHeight="1">
      <c r="A84" s="1" t="n"/>
      <c r="B84" s="2" t="n"/>
      <c r="C84" s="2" t="n"/>
      <c r="D84" s="3" t="n"/>
      <c r="E84" s="4">
        <f>IFERROR(VALUE(LEFT(D85,FIND(" - ",D85)-1)), "")</f>
        <v/>
      </c>
      <c r="F84" s="5">
        <f>IFERROR(VLOOKUP(E85,Product_Master!A:D,4,FALSE)&amp;"", "")</f>
        <v/>
      </c>
      <c r="G84" s="6" t="n"/>
      <c r="H84" s="6" t="n"/>
      <c r="I84" s="6" t="n"/>
      <c r="J84" s="7">
        <f>IF(OR(G85="",G85=0), "", IFERROR(I85/G85, ""))</f>
        <v/>
      </c>
      <c r="K84" s="6" t="n"/>
      <c r="L84" s="3" t="n"/>
    </row>
    <row r="85" ht="20.1" customHeight="1">
      <c r="A85" s="1" t="n"/>
      <c r="B85" s="2" t="n"/>
      <c r="C85" s="2" t="n"/>
      <c r="D85" s="3" t="n"/>
      <c r="E85" s="4">
        <f>IFERROR(VALUE(LEFT(D86,FIND(" - ",D86)-1)), "")</f>
        <v/>
      </c>
      <c r="F85" s="5">
        <f>IFERROR(VLOOKUP(E86,Product_Master!A:D,4,FALSE)&amp;"", "")</f>
        <v/>
      </c>
      <c r="G85" s="6" t="n"/>
      <c r="H85" s="6" t="n"/>
      <c r="I85" s="6" t="n"/>
      <c r="J85" s="7">
        <f>IF(OR(G86="",G86=0), "", IFERROR(I86/G86, ""))</f>
        <v/>
      </c>
      <c r="K85" s="6" t="n"/>
      <c r="L85" s="3" t="n"/>
    </row>
    <row r="86" ht="20.1" customHeight="1">
      <c r="A86" s="1" t="n"/>
      <c r="B86" s="2" t="n"/>
      <c r="C86" s="2" t="n"/>
      <c r="D86" s="3" t="n"/>
      <c r="E86" s="4">
        <f>IFERROR(VALUE(LEFT(D87,FIND(" - ",D87)-1)), "")</f>
        <v/>
      </c>
      <c r="F86" s="5">
        <f>IFERROR(VLOOKUP(E87,Product_Master!A:D,4,FALSE)&amp;"", "")</f>
        <v/>
      </c>
      <c r="G86" s="6" t="n"/>
      <c r="H86" s="6" t="n"/>
      <c r="I86" s="6" t="n"/>
      <c r="J86" s="7">
        <f>IF(OR(G87="",G87=0), "", IFERROR(I87/G87, ""))</f>
        <v/>
      </c>
      <c r="K86" s="6" t="n"/>
      <c r="L86" s="3" t="n"/>
    </row>
    <row r="87" ht="20.1" customHeight="1">
      <c r="A87" s="1" t="n"/>
      <c r="B87" s="2" t="n"/>
      <c r="C87" s="2" t="n"/>
      <c r="D87" s="3" t="n"/>
      <c r="E87" s="4">
        <f>IFERROR(VALUE(LEFT(D88,FIND(" - ",D88)-1)), "")</f>
        <v/>
      </c>
      <c r="F87" s="5">
        <f>IFERROR(VLOOKUP(E88,Product_Master!A:D,4,FALSE)&amp;"", "")</f>
        <v/>
      </c>
      <c r="G87" s="6" t="n"/>
      <c r="H87" s="6" t="n"/>
      <c r="I87" s="6" t="n"/>
      <c r="J87" s="7">
        <f>IF(OR(G88="",G88=0), "", IFERROR(I88/G88, ""))</f>
        <v/>
      </c>
      <c r="K87" s="6" t="n"/>
      <c r="L87" s="3" t="n"/>
    </row>
    <row r="88" ht="20.1" customHeight="1">
      <c r="A88" s="1" t="n"/>
      <c r="B88" s="2" t="n"/>
      <c r="C88" s="2" t="n"/>
      <c r="D88" s="3" t="n"/>
      <c r="E88" s="4">
        <f>IFERROR(VALUE(LEFT(D89,FIND(" - ",D89)-1)), "")</f>
        <v/>
      </c>
      <c r="F88" s="5">
        <f>IFERROR(VLOOKUP(E89,Product_Master!A:D,4,FALSE)&amp;"", "")</f>
        <v/>
      </c>
      <c r="G88" s="6" t="n"/>
      <c r="H88" s="6" t="n"/>
      <c r="I88" s="6" t="n"/>
      <c r="J88" s="7">
        <f>IF(OR(G89="",G89=0), "", IFERROR(I89/G89, ""))</f>
        <v/>
      </c>
      <c r="K88" s="6" t="n"/>
      <c r="L88" s="3" t="n"/>
    </row>
    <row r="89" ht="20.1" customHeight="1">
      <c r="A89" s="1" t="n"/>
      <c r="B89" s="2" t="n"/>
      <c r="C89" s="2" t="n"/>
      <c r="D89" s="3" t="n"/>
      <c r="E89" s="4">
        <f>IFERROR(VALUE(LEFT(D90,FIND(" - ",D90)-1)), "")</f>
        <v/>
      </c>
      <c r="F89" s="5">
        <f>IFERROR(VLOOKUP(E90,Product_Master!A:D,4,FALSE)&amp;"", "")</f>
        <v/>
      </c>
      <c r="G89" s="6" t="n"/>
      <c r="H89" s="6" t="n"/>
      <c r="I89" s="6" t="n"/>
      <c r="J89" s="7">
        <f>IF(OR(G90="",G90=0), "", IFERROR(I90/G90, ""))</f>
        <v/>
      </c>
      <c r="K89" s="6" t="n"/>
      <c r="L89" s="3" t="n"/>
    </row>
    <row r="90" ht="20.1" customHeight="1">
      <c r="A90" s="1" t="n"/>
      <c r="B90" s="2" t="n"/>
      <c r="C90" s="2" t="n"/>
      <c r="D90" s="3" t="n"/>
      <c r="E90" s="4">
        <f>IFERROR(VALUE(LEFT(D91,FIND(" - ",D91)-1)), "")</f>
        <v/>
      </c>
      <c r="F90" s="5">
        <f>IFERROR(VLOOKUP(E91,Product_Master!A:D,4,FALSE)&amp;"", "")</f>
        <v/>
      </c>
      <c r="G90" s="6" t="n"/>
      <c r="H90" s="6" t="n"/>
      <c r="I90" s="6" t="n"/>
      <c r="J90" s="7">
        <f>IF(OR(G91="",G91=0), "", IFERROR(I91/G91, ""))</f>
        <v/>
      </c>
      <c r="K90" s="6" t="n"/>
      <c r="L90" s="3" t="n"/>
    </row>
    <row r="91" ht="20.1" customHeight="1">
      <c r="A91" s="1" t="n"/>
      <c r="B91" s="2" t="n"/>
      <c r="C91" s="2" t="n"/>
      <c r="D91" s="3" t="n"/>
      <c r="E91" s="4">
        <f>IFERROR(VALUE(LEFT(D92,FIND(" - ",D92)-1)), "")</f>
        <v/>
      </c>
      <c r="F91" s="5">
        <f>IFERROR(VLOOKUP(E92,Product_Master!A:D,4,FALSE)&amp;"", "")</f>
        <v/>
      </c>
      <c r="G91" s="6" t="n"/>
      <c r="H91" s="6" t="n"/>
      <c r="I91" s="6" t="n"/>
      <c r="J91" s="7">
        <f>IF(OR(G92="",G92=0), "", IFERROR(I92/G92, ""))</f>
        <v/>
      </c>
      <c r="K91" s="6" t="n"/>
      <c r="L91" s="3" t="n"/>
    </row>
    <row r="92" ht="20.1" customHeight="1">
      <c r="A92" s="1" t="n"/>
      <c r="B92" s="2" t="n"/>
      <c r="C92" s="2" t="n"/>
      <c r="D92" s="3" t="n"/>
      <c r="E92" s="4">
        <f>IFERROR(VALUE(LEFT(D93,FIND(" - ",D93)-1)), "")</f>
        <v/>
      </c>
      <c r="F92" s="5">
        <f>IFERROR(VLOOKUP(E93,Product_Master!A:D,4,FALSE)&amp;"", "")</f>
        <v/>
      </c>
      <c r="G92" s="6" t="n"/>
      <c r="H92" s="6" t="n"/>
      <c r="I92" s="6" t="n"/>
      <c r="J92" s="7">
        <f>IF(OR(G93="",G93=0), "", IFERROR(I93/G93, ""))</f>
        <v/>
      </c>
      <c r="K92" s="6" t="n"/>
      <c r="L92" s="3" t="n"/>
    </row>
    <row r="93" ht="20.1" customHeight="1">
      <c r="A93" s="1" t="n"/>
      <c r="B93" s="2" t="n"/>
      <c r="C93" s="2" t="n"/>
      <c r="D93" s="3" t="n"/>
      <c r="E93" s="4">
        <f>IFERROR(VALUE(LEFT(D94,FIND(" - ",D94)-1)), "")</f>
        <v/>
      </c>
      <c r="F93" s="5">
        <f>IFERROR(VLOOKUP(E94,Product_Master!A:D,4,FALSE)&amp;"", "")</f>
        <v/>
      </c>
      <c r="G93" s="6" t="n"/>
      <c r="H93" s="6" t="n"/>
      <c r="I93" s="6" t="n"/>
      <c r="J93" s="7">
        <f>IF(OR(G94="",G94=0), "", IFERROR(I94/G94, ""))</f>
        <v/>
      </c>
      <c r="K93" s="6" t="n"/>
      <c r="L93" s="3" t="n"/>
    </row>
    <row r="94" ht="20.1" customHeight="1">
      <c r="A94" s="1" t="n"/>
      <c r="B94" s="2" t="n"/>
      <c r="C94" s="2" t="n"/>
      <c r="D94" s="3" t="n"/>
      <c r="E94" s="4">
        <f>IFERROR(VALUE(LEFT(D95,FIND(" - ",D95)-1)), "")</f>
        <v/>
      </c>
      <c r="F94" s="5">
        <f>IFERROR(VLOOKUP(E95,Product_Master!A:D,4,FALSE)&amp;"", "")</f>
        <v/>
      </c>
      <c r="G94" s="6" t="n"/>
      <c r="H94" s="6" t="n"/>
      <c r="I94" s="6" t="n"/>
      <c r="J94" s="7">
        <f>IF(OR(G95="",G95=0), "", IFERROR(I95/G95, ""))</f>
        <v/>
      </c>
      <c r="K94" s="6" t="n"/>
      <c r="L94" s="3" t="n"/>
    </row>
    <row r="95" ht="20.1" customHeight="1">
      <c r="A95" s="1" t="n"/>
      <c r="B95" s="2" t="n"/>
      <c r="C95" s="2" t="n"/>
      <c r="D95" s="3" t="n"/>
      <c r="E95" s="4">
        <f>IFERROR(VALUE(LEFT(D96,FIND(" - ",D96)-1)), "")</f>
        <v/>
      </c>
      <c r="F95" s="5">
        <f>IFERROR(VLOOKUP(E96,Product_Master!A:D,4,FALSE)&amp;"", "")</f>
        <v/>
      </c>
      <c r="G95" s="6" t="n"/>
      <c r="H95" s="6" t="n"/>
      <c r="I95" s="6" t="n"/>
      <c r="J95" s="7">
        <f>IF(OR(G96="",G96=0), "", IFERROR(I96/G96, ""))</f>
        <v/>
      </c>
      <c r="K95" s="6" t="n"/>
      <c r="L95" s="3" t="n"/>
    </row>
    <row r="96" ht="20.1" customHeight="1">
      <c r="A96" s="1" t="n"/>
      <c r="B96" s="2" t="n"/>
      <c r="C96" s="2" t="n"/>
      <c r="D96" s="3" t="n"/>
      <c r="E96" s="4">
        <f>IFERROR(VALUE(LEFT(D97,FIND(" - ",D97)-1)), "")</f>
        <v/>
      </c>
      <c r="F96" s="5">
        <f>IFERROR(VLOOKUP(E97,Product_Master!A:D,4,FALSE)&amp;"", "")</f>
        <v/>
      </c>
      <c r="G96" s="6" t="n"/>
      <c r="H96" s="6" t="n"/>
      <c r="I96" s="6" t="n"/>
      <c r="J96" s="7">
        <f>IF(OR(G97="",G97=0), "", IFERROR(I97/G97, ""))</f>
        <v/>
      </c>
      <c r="K96" s="6" t="n"/>
      <c r="L96" s="3" t="n"/>
    </row>
    <row r="97" ht="20.1" customHeight="1">
      <c r="A97" s="1" t="n"/>
      <c r="B97" s="2" t="n"/>
      <c r="C97" s="2" t="n"/>
      <c r="D97" s="3" t="n"/>
      <c r="E97" s="4">
        <f>IFERROR(VALUE(LEFT(D98,FIND(" - ",D98)-1)), "")</f>
        <v/>
      </c>
      <c r="F97" s="5">
        <f>IFERROR(VLOOKUP(E98,Product_Master!A:D,4,FALSE)&amp;"", "")</f>
        <v/>
      </c>
      <c r="G97" s="6" t="n"/>
      <c r="H97" s="6" t="n"/>
      <c r="I97" s="6" t="n"/>
      <c r="J97" s="7">
        <f>IF(OR(G98="",G98=0), "", IFERROR(I98/G98, ""))</f>
        <v/>
      </c>
      <c r="K97" s="6" t="n"/>
      <c r="L97" s="3" t="n"/>
    </row>
    <row r="98" ht="20.1" customHeight="1">
      <c r="A98" s="1" t="n"/>
      <c r="B98" s="2" t="n"/>
      <c r="C98" s="2" t="n"/>
      <c r="D98" s="3" t="n"/>
      <c r="E98" s="4">
        <f>IFERROR(VALUE(LEFT(D99,FIND(" - ",D99)-1)), "")</f>
        <v/>
      </c>
      <c r="F98" s="5">
        <f>IFERROR(VLOOKUP(E99,Product_Master!A:D,4,FALSE)&amp;"", "")</f>
        <v/>
      </c>
      <c r="G98" s="6" t="n"/>
      <c r="H98" s="6" t="n"/>
      <c r="I98" s="6" t="n"/>
      <c r="J98" s="7">
        <f>IF(OR(G99="",G99=0), "", IFERROR(I99/G99, ""))</f>
        <v/>
      </c>
      <c r="K98" s="6" t="n"/>
      <c r="L98" s="3" t="n"/>
    </row>
    <row r="99" ht="20.1" customHeight="1">
      <c r="A99" s="1" t="n"/>
      <c r="B99" s="2" t="n"/>
      <c r="C99" s="2" t="n"/>
      <c r="D99" s="3" t="n"/>
      <c r="E99" s="4">
        <f>IFERROR(VALUE(LEFT(D100,FIND(" - ",D100)-1)), "")</f>
        <v/>
      </c>
      <c r="F99" s="5">
        <f>IFERROR(VLOOKUP(E100,Product_Master!A:D,4,FALSE)&amp;"", "")</f>
        <v/>
      </c>
      <c r="G99" s="6" t="n"/>
      <c r="H99" s="6" t="n"/>
      <c r="I99" s="6" t="n"/>
      <c r="J99" s="7">
        <f>IF(OR(G100="",G100=0), "", IFERROR(I100/G100, ""))</f>
        <v/>
      </c>
      <c r="K99" s="6" t="n"/>
      <c r="L99" s="3" t="n"/>
    </row>
    <row r="100" ht="20.1" customHeight="1">
      <c r="A100" s="1" t="n"/>
      <c r="B100" s="2" t="n"/>
      <c r="C100" s="2" t="n"/>
      <c r="D100" s="3" t="n"/>
      <c r="E100" s="4">
        <f>IFERROR(VALUE(LEFT(D101,FIND(" - ",D101)-1)), "")</f>
        <v/>
      </c>
      <c r="F100" s="5">
        <f>IFERROR(VLOOKUP(E101,Product_Master!A:D,4,FALSE)&amp;"", "")</f>
        <v/>
      </c>
      <c r="G100" s="6" t="n"/>
      <c r="H100" s="6" t="n"/>
      <c r="I100" s="6" t="n"/>
      <c r="J100" s="7">
        <f>IF(OR(G101="",G101=0), "", IFERROR(I101/G101, ""))</f>
        <v/>
      </c>
      <c r="K100" s="6" t="n"/>
      <c r="L100" s="3" t="n"/>
    </row>
    <row r="101" ht="20.1" customHeight="1">
      <c r="A101" s="1" t="n"/>
      <c r="B101" s="2" t="n"/>
      <c r="C101" s="2" t="n"/>
      <c r="D101" s="3" t="n"/>
      <c r="E101" s="4">
        <f>IFERROR(VALUE(LEFT(D102,FIND(" - ",D102)-1)), "")</f>
        <v/>
      </c>
      <c r="F101" s="5">
        <f>IFERROR(VLOOKUP(E102,Product_Master!A:D,4,FALSE)&amp;"", "")</f>
        <v/>
      </c>
      <c r="G101" s="6" t="n"/>
      <c r="H101" s="6" t="n"/>
      <c r="I101" s="6" t="n"/>
      <c r="J101" s="7">
        <f>IF(OR(G102="",G102=0), "", IFERROR(I102/G102, ""))</f>
        <v/>
      </c>
      <c r="K101" s="6" t="n"/>
      <c r="L101" s="3" t="n"/>
    </row>
    <row r="102" ht="20.1" customHeight="1">
      <c r="A102" s="1" t="n"/>
      <c r="B102" s="2" t="n"/>
      <c r="C102" s="2" t="n"/>
      <c r="D102" s="3" t="n"/>
      <c r="E102" s="4">
        <f>IFERROR(VALUE(LEFT(D103,FIND(" - ",D103)-1)), "")</f>
        <v/>
      </c>
      <c r="F102" s="5">
        <f>IFERROR(VLOOKUP(E103,Product_Master!A:D,4,FALSE)&amp;"", "")</f>
        <v/>
      </c>
      <c r="G102" s="6" t="n"/>
      <c r="H102" s="6" t="n"/>
      <c r="I102" s="6" t="n"/>
      <c r="J102" s="7">
        <f>IF(OR(G103="",G103=0), "", IFERROR(I103/G103, ""))</f>
        <v/>
      </c>
      <c r="K102" s="6" t="n"/>
      <c r="L102" s="3" t="n"/>
    </row>
    <row r="103" ht="20.1" customHeight="1">
      <c r="A103" s="1" t="n"/>
      <c r="B103" s="2" t="n"/>
      <c r="C103" s="2" t="n"/>
      <c r="D103" s="3" t="n"/>
      <c r="E103" s="4">
        <f>IFERROR(VALUE(LEFT(D104,FIND(" - ",D104)-1)), "")</f>
        <v/>
      </c>
      <c r="F103" s="5">
        <f>IFERROR(VLOOKUP(E104,Product_Master!A:D,4,FALSE)&amp;"", "")</f>
        <v/>
      </c>
      <c r="G103" s="6" t="n"/>
      <c r="H103" s="6" t="n"/>
      <c r="I103" s="6" t="n"/>
      <c r="J103" s="7">
        <f>IF(OR(G104="",G104=0), "", IFERROR(I104/G104, ""))</f>
        <v/>
      </c>
      <c r="K103" s="6" t="n"/>
      <c r="L103" s="3" t="n"/>
    </row>
    <row r="104" ht="20.1" customHeight="1">
      <c r="A104" s="1" t="n"/>
      <c r="B104" s="2" t="n"/>
      <c r="C104" s="2" t="n"/>
      <c r="D104" s="3" t="n"/>
      <c r="E104" s="4">
        <f>IFERROR(VALUE(LEFT(D105,FIND(" - ",D105)-1)), "")</f>
        <v/>
      </c>
      <c r="F104" s="5">
        <f>IFERROR(VLOOKUP(E105,Product_Master!A:D,4,FALSE)&amp;"", "")</f>
        <v/>
      </c>
      <c r="G104" s="6" t="n"/>
      <c r="H104" s="6" t="n"/>
      <c r="I104" s="6" t="n"/>
      <c r="J104" s="7">
        <f>IF(OR(G105="",G105=0), "", IFERROR(I105/G105, ""))</f>
        <v/>
      </c>
      <c r="K104" s="6" t="n"/>
      <c r="L104" s="3" t="n"/>
    </row>
    <row r="105" ht="20.1" customHeight="1">
      <c r="A105" s="1" t="n"/>
      <c r="B105" s="2" t="n"/>
      <c r="C105" s="2" t="n"/>
      <c r="D105" s="3" t="n"/>
      <c r="E105" s="4">
        <f>IFERROR(VALUE(LEFT(D106,FIND(" - ",D106)-1)), "")</f>
        <v/>
      </c>
      <c r="F105" s="5">
        <f>IFERROR(VLOOKUP(E106,Product_Master!A:D,4,FALSE)&amp;"", "")</f>
        <v/>
      </c>
      <c r="G105" s="6" t="n"/>
      <c r="H105" s="6" t="n"/>
      <c r="I105" s="6" t="n"/>
      <c r="J105" s="7">
        <f>IF(OR(G106="",G106=0), "", IFERROR(I106/G106, ""))</f>
        <v/>
      </c>
      <c r="K105" s="6" t="n"/>
      <c r="L105" s="3" t="n"/>
    </row>
    <row r="106" ht="20.1" customHeight="1">
      <c r="A106" s="1" t="n"/>
      <c r="B106" s="2" t="n"/>
      <c r="C106" s="2" t="n"/>
      <c r="D106" s="3" t="n"/>
      <c r="E106" s="4">
        <f>IFERROR(VALUE(LEFT(D107,FIND(" - ",D107)-1)), "")</f>
        <v/>
      </c>
      <c r="F106" s="5">
        <f>IFERROR(VLOOKUP(E107,Product_Master!A:D,4,FALSE)&amp;"", "")</f>
        <v/>
      </c>
      <c r="G106" s="6" t="n"/>
      <c r="H106" s="6" t="n"/>
      <c r="I106" s="6" t="n"/>
      <c r="J106" s="7">
        <f>IF(OR(G107="",G107=0), "", IFERROR(I107/G107, ""))</f>
        <v/>
      </c>
      <c r="K106" s="6" t="n"/>
      <c r="L106" s="3" t="n"/>
    </row>
    <row r="107" ht="20.1" customHeight="1">
      <c r="A107" s="1" t="n"/>
      <c r="B107" s="2" t="n"/>
      <c r="C107" s="2" t="n"/>
      <c r="D107" s="3" t="n"/>
      <c r="E107" s="4">
        <f>IFERROR(VALUE(LEFT(D108,FIND(" - ",D108)-1)), "")</f>
        <v/>
      </c>
      <c r="F107" s="5">
        <f>IFERROR(VLOOKUP(E108,Product_Master!A:D,4,FALSE)&amp;"", "")</f>
        <v/>
      </c>
      <c r="G107" s="6" t="n"/>
      <c r="H107" s="6" t="n"/>
      <c r="I107" s="6" t="n"/>
      <c r="J107" s="7">
        <f>IF(OR(G108="",G108=0), "", IFERROR(I108/G108, ""))</f>
        <v/>
      </c>
      <c r="K107" s="6" t="n"/>
      <c r="L107" s="3" t="n"/>
    </row>
    <row r="108" ht="20.1" customHeight="1">
      <c r="A108" s="1" t="n"/>
      <c r="B108" s="2" t="n"/>
      <c r="C108" s="2" t="n"/>
      <c r="D108" s="3" t="n"/>
      <c r="E108" s="4">
        <f>IFERROR(VALUE(LEFT(D109,FIND(" - ",D109)-1)), "")</f>
        <v/>
      </c>
      <c r="F108" s="5">
        <f>IFERROR(VLOOKUP(E109,Product_Master!A:D,4,FALSE)&amp;"", "")</f>
        <v/>
      </c>
      <c r="G108" s="6" t="n"/>
      <c r="H108" s="6" t="n"/>
      <c r="I108" s="6" t="n"/>
      <c r="J108" s="7">
        <f>IF(OR(G109="",G109=0), "", IFERROR(I109/G109, ""))</f>
        <v/>
      </c>
      <c r="K108" s="6" t="n"/>
      <c r="L108" s="3" t="n"/>
    </row>
    <row r="109" ht="20.1" customHeight="1">
      <c r="A109" s="1" t="n"/>
      <c r="B109" s="2" t="n"/>
      <c r="C109" s="2" t="n"/>
      <c r="D109" s="3" t="n"/>
      <c r="E109" s="4">
        <f>IFERROR(VALUE(LEFT(D110,FIND(" - ",D110)-1)), "")</f>
        <v/>
      </c>
      <c r="F109" s="5">
        <f>IFERROR(VLOOKUP(E110,Product_Master!A:D,4,FALSE)&amp;"", "")</f>
        <v/>
      </c>
      <c r="G109" s="6" t="n"/>
      <c r="H109" s="6" t="n"/>
      <c r="I109" s="6" t="n"/>
      <c r="J109" s="7">
        <f>IF(OR(G110="",G110=0), "", IFERROR(I110/G110, ""))</f>
        <v/>
      </c>
      <c r="K109" s="6" t="n"/>
      <c r="L109" s="3" t="n"/>
    </row>
    <row r="110" ht="20.1" customHeight="1">
      <c r="A110" s="1" t="n"/>
      <c r="B110" s="2" t="n"/>
      <c r="C110" s="2" t="n"/>
      <c r="D110" s="3" t="n"/>
      <c r="E110" s="4">
        <f>IFERROR(VALUE(LEFT(D111,FIND(" - ",D111)-1)), "")</f>
        <v/>
      </c>
      <c r="F110" s="5">
        <f>IFERROR(VLOOKUP(E111,Product_Master!A:D,4,FALSE)&amp;"", "")</f>
        <v/>
      </c>
      <c r="G110" s="6" t="n"/>
      <c r="H110" s="6" t="n"/>
      <c r="I110" s="6" t="n"/>
      <c r="J110" s="7">
        <f>IF(OR(G111="",G111=0), "", IFERROR(I111/G111, ""))</f>
        <v/>
      </c>
      <c r="K110" s="6" t="n"/>
      <c r="L110" s="3" t="n"/>
    </row>
    <row r="111" ht="20.1" customHeight="1">
      <c r="A111" s="1" t="n"/>
      <c r="B111" s="2" t="n"/>
      <c r="C111" s="2" t="n"/>
      <c r="D111" s="3" t="n"/>
      <c r="E111" s="4">
        <f>IFERROR(VALUE(LEFT(D112,FIND(" - ",D112)-1)), "")</f>
        <v/>
      </c>
      <c r="F111" s="5">
        <f>IFERROR(VLOOKUP(E112,Product_Master!A:D,4,FALSE)&amp;"", "")</f>
        <v/>
      </c>
      <c r="G111" s="6" t="n"/>
      <c r="H111" s="6" t="n"/>
      <c r="I111" s="6" t="n"/>
      <c r="J111" s="7">
        <f>IF(OR(G112="",G112=0), "", IFERROR(I112/G112, ""))</f>
        <v/>
      </c>
      <c r="K111" s="6" t="n"/>
      <c r="L111" s="3" t="n"/>
    </row>
    <row r="112" ht="20.1" customHeight="1">
      <c r="A112" s="1" t="n"/>
      <c r="B112" s="2" t="n"/>
      <c r="C112" s="2" t="n"/>
      <c r="D112" s="3" t="n"/>
      <c r="E112" s="4">
        <f>IFERROR(VALUE(LEFT(D113,FIND(" - ",D113)-1)), "")</f>
        <v/>
      </c>
      <c r="F112" s="5">
        <f>IFERROR(VLOOKUP(E113,Product_Master!A:D,4,FALSE)&amp;"", "")</f>
        <v/>
      </c>
      <c r="G112" s="6" t="n"/>
      <c r="H112" s="6" t="n"/>
      <c r="I112" s="6" t="n"/>
      <c r="J112" s="7">
        <f>IF(OR(G113="",G113=0), "", IFERROR(I113/G113, ""))</f>
        <v/>
      </c>
      <c r="K112" s="6" t="n"/>
      <c r="L112" s="3" t="n"/>
    </row>
    <row r="113" ht="20.1" customHeight="1">
      <c r="A113" s="1" t="n"/>
      <c r="B113" s="2" t="n"/>
      <c r="C113" s="2" t="n"/>
      <c r="D113" s="3" t="n"/>
      <c r="E113" s="4">
        <f>IFERROR(VALUE(LEFT(D114,FIND(" - ",D114)-1)), "")</f>
        <v/>
      </c>
      <c r="F113" s="5">
        <f>IFERROR(VLOOKUP(E114,Product_Master!A:D,4,FALSE)&amp;"", "")</f>
        <v/>
      </c>
      <c r="G113" s="6" t="n"/>
      <c r="H113" s="6" t="n"/>
      <c r="I113" s="6" t="n"/>
      <c r="J113" s="7">
        <f>IF(OR(G114="",G114=0), "", IFERROR(I114/G114, ""))</f>
        <v/>
      </c>
      <c r="K113" s="6" t="n"/>
      <c r="L113" s="3" t="n"/>
    </row>
    <row r="114" ht="20.1" customHeight="1">
      <c r="A114" s="1" t="n"/>
      <c r="B114" s="2" t="n"/>
      <c r="C114" s="2" t="n"/>
      <c r="D114" s="3" t="n"/>
      <c r="E114" s="4">
        <f>IFERROR(VALUE(LEFT(D115,FIND(" - ",D115)-1)), "")</f>
        <v/>
      </c>
      <c r="F114" s="5">
        <f>IFERROR(VLOOKUP(E115,Product_Master!A:D,4,FALSE)&amp;"", "")</f>
        <v/>
      </c>
      <c r="G114" s="6" t="n"/>
      <c r="H114" s="6" t="n"/>
      <c r="I114" s="6" t="n"/>
      <c r="J114" s="7">
        <f>IF(OR(G115="",G115=0), "", IFERROR(I115/G115, ""))</f>
        <v/>
      </c>
      <c r="K114" s="6" t="n"/>
      <c r="L114" s="3" t="n"/>
    </row>
    <row r="115" ht="20.1" customHeight="1">
      <c r="A115" s="1" t="n"/>
      <c r="B115" s="2" t="n"/>
      <c r="C115" s="2" t="n"/>
      <c r="D115" s="3" t="n"/>
      <c r="E115" s="4">
        <f>IFERROR(VALUE(LEFT(D116,FIND(" - ",D116)-1)), "")</f>
        <v/>
      </c>
      <c r="F115" s="5">
        <f>IFERROR(VLOOKUP(E116,Product_Master!A:D,4,FALSE)&amp;"", "")</f>
        <v/>
      </c>
      <c r="G115" s="6" t="n"/>
      <c r="H115" s="6" t="n"/>
      <c r="I115" s="6" t="n"/>
      <c r="J115" s="7">
        <f>IF(OR(G116="",G116=0), "", IFERROR(I116/G116, ""))</f>
        <v/>
      </c>
      <c r="K115" s="6" t="n"/>
      <c r="L115" s="3" t="n"/>
    </row>
    <row r="116" ht="20.1" customHeight="1">
      <c r="A116" s="1" t="n"/>
      <c r="B116" s="2" t="n"/>
      <c r="C116" s="2" t="n"/>
      <c r="D116" s="3" t="n"/>
      <c r="E116" s="4">
        <f>IFERROR(VALUE(LEFT(D117,FIND(" - ",D117)-1)), "")</f>
        <v/>
      </c>
      <c r="F116" s="5">
        <f>IFERROR(VLOOKUP(E117,Product_Master!A:D,4,FALSE)&amp;"", "")</f>
        <v/>
      </c>
      <c r="G116" s="6" t="n"/>
      <c r="H116" s="6" t="n"/>
      <c r="I116" s="6" t="n"/>
      <c r="J116" s="7">
        <f>IF(OR(G117="",G117=0), "", IFERROR(I117/G117, ""))</f>
        <v/>
      </c>
      <c r="K116" s="6" t="n"/>
      <c r="L116" s="3" t="n"/>
    </row>
    <row r="117" ht="20.1" customHeight="1">
      <c r="A117" s="1" t="n"/>
      <c r="B117" s="2" t="n"/>
      <c r="C117" s="2" t="n"/>
      <c r="D117" s="3" t="n"/>
      <c r="E117" s="4">
        <f>IFERROR(VALUE(LEFT(D118,FIND(" - ",D118)-1)), "")</f>
        <v/>
      </c>
      <c r="F117" s="5">
        <f>IFERROR(VLOOKUP(E118,Product_Master!A:D,4,FALSE)&amp;"", "")</f>
        <v/>
      </c>
      <c r="G117" s="6" t="n"/>
      <c r="H117" s="6" t="n"/>
      <c r="I117" s="6" t="n"/>
      <c r="J117" s="7">
        <f>IF(OR(G118="",G118=0), "", IFERROR(I118/G118, ""))</f>
        <v/>
      </c>
      <c r="K117" s="6" t="n"/>
      <c r="L117" s="3" t="n"/>
    </row>
    <row r="118" ht="20.1" customHeight="1">
      <c r="A118" s="1" t="n"/>
      <c r="B118" s="2" t="n"/>
      <c r="C118" s="2" t="n"/>
      <c r="D118" s="3" t="n"/>
      <c r="E118" s="4">
        <f>IFERROR(VALUE(LEFT(D119,FIND(" - ",D119)-1)), "")</f>
        <v/>
      </c>
      <c r="F118" s="5">
        <f>IFERROR(VLOOKUP(E119,Product_Master!A:D,4,FALSE)&amp;"", "")</f>
        <v/>
      </c>
      <c r="G118" s="6" t="n"/>
      <c r="H118" s="6" t="n"/>
      <c r="I118" s="6" t="n"/>
      <c r="J118" s="7">
        <f>IF(OR(G119="",G119=0), "", IFERROR(I119/G119, ""))</f>
        <v/>
      </c>
      <c r="K118" s="6" t="n"/>
      <c r="L118" s="3" t="n"/>
    </row>
    <row r="119" ht="20.1" customHeight="1">
      <c r="A119" s="1" t="n"/>
      <c r="B119" s="2" t="n"/>
      <c r="C119" s="2" t="n"/>
      <c r="D119" s="3" t="n"/>
      <c r="E119" s="4">
        <f>IFERROR(VALUE(LEFT(D120,FIND(" - ",D120)-1)), "")</f>
        <v/>
      </c>
      <c r="F119" s="5">
        <f>IFERROR(VLOOKUP(E120,Product_Master!A:D,4,FALSE)&amp;"", "")</f>
        <v/>
      </c>
      <c r="G119" s="6" t="n"/>
      <c r="H119" s="6" t="n"/>
      <c r="I119" s="6" t="n"/>
      <c r="J119" s="7">
        <f>IF(OR(G120="",G120=0), "", IFERROR(I120/G120, ""))</f>
        <v/>
      </c>
      <c r="K119" s="6" t="n"/>
      <c r="L119" s="3" t="n"/>
    </row>
    <row r="120" ht="20.1" customHeight="1">
      <c r="A120" s="1" t="n"/>
      <c r="B120" s="2" t="n"/>
      <c r="C120" s="2" t="n"/>
      <c r="D120" s="3" t="n"/>
      <c r="E120" s="4">
        <f>IFERROR(VALUE(LEFT(D121,FIND(" - ",D121)-1)), "")</f>
        <v/>
      </c>
      <c r="F120" s="5">
        <f>IFERROR(VLOOKUP(E121,Product_Master!A:D,4,FALSE)&amp;"", "")</f>
        <v/>
      </c>
      <c r="G120" s="6" t="n"/>
      <c r="H120" s="6" t="n"/>
      <c r="I120" s="6" t="n"/>
      <c r="J120" s="7">
        <f>IF(OR(G121="",G121=0), "", IFERROR(I121/G121, ""))</f>
        <v/>
      </c>
      <c r="K120" s="6" t="n"/>
      <c r="L120" s="3" t="n"/>
    </row>
    <row r="121" ht="20.1" customHeight="1">
      <c r="A121" s="1" t="n"/>
      <c r="B121" s="2" t="n"/>
      <c r="C121" s="2" t="n"/>
      <c r="D121" s="3" t="n"/>
      <c r="E121" s="4">
        <f>IFERROR(VALUE(LEFT(D122,FIND(" - ",D122)-1)), "")</f>
        <v/>
      </c>
      <c r="F121" s="5">
        <f>IFERROR(VLOOKUP(E122,Product_Master!A:D,4,FALSE)&amp;"", "")</f>
        <v/>
      </c>
      <c r="G121" s="6" t="n"/>
      <c r="H121" s="6" t="n"/>
      <c r="I121" s="6" t="n"/>
      <c r="J121" s="7">
        <f>IF(OR(G122="",G122=0), "", IFERROR(I122/G122, ""))</f>
        <v/>
      </c>
      <c r="K121" s="6" t="n"/>
      <c r="L121" s="3" t="n"/>
    </row>
    <row r="122" ht="20.1" customHeight="1">
      <c r="A122" s="1" t="n"/>
      <c r="B122" s="2" t="n"/>
      <c r="C122" s="2" t="n"/>
      <c r="D122" s="3" t="n"/>
      <c r="E122" s="4">
        <f>IFERROR(VALUE(LEFT(D123,FIND(" - ",D123)-1)), "")</f>
        <v/>
      </c>
      <c r="F122" s="5">
        <f>IFERROR(VLOOKUP(E123,Product_Master!A:D,4,FALSE)&amp;"", "")</f>
        <v/>
      </c>
      <c r="G122" s="6" t="n"/>
      <c r="H122" s="6" t="n"/>
      <c r="I122" s="6" t="n"/>
      <c r="J122" s="7">
        <f>IF(OR(G123="",G123=0), "", IFERROR(I123/G123, ""))</f>
        <v/>
      </c>
      <c r="K122" s="6" t="n"/>
      <c r="L122" s="3" t="n"/>
    </row>
    <row r="123" ht="20.1" customHeight="1">
      <c r="A123" s="1" t="n"/>
      <c r="B123" s="2" t="n"/>
      <c r="C123" s="2" t="n"/>
      <c r="D123" s="3" t="n"/>
      <c r="E123" s="4">
        <f>IFERROR(VALUE(LEFT(D124,FIND(" - ",D124)-1)), "")</f>
        <v/>
      </c>
      <c r="F123" s="5">
        <f>IFERROR(VLOOKUP(E124,Product_Master!A:D,4,FALSE)&amp;"", "")</f>
        <v/>
      </c>
      <c r="G123" s="6" t="n"/>
      <c r="H123" s="6" t="n"/>
      <c r="I123" s="6" t="n"/>
      <c r="J123" s="7">
        <f>IF(OR(G124="",G124=0), "", IFERROR(I124/G124, ""))</f>
        <v/>
      </c>
      <c r="K123" s="6" t="n"/>
      <c r="L123" s="3" t="n"/>
    </row>
    <row r="124" ht="20.1" customHeight="1">
      <c r="A124" s="1" t="n"/>
      <c r="B124" s="2" t="n"/>
      <c r="C124" s="2" t="n"/>
      <c r="D124" s="3" t="n"/>
      <c r="E124" s="4">
        <f>IFERROR(VALUE(LEFT(D125,FIND(" - ",D125)-1)), "")</f>
        <v/>
      </c>
      <c r="F124" s="5">
        <f>IFERROR(VLOOKUP(E125,Product_Master!A:D,4,FALSE)&amp;"", "")</f>
        <v/>
      </c>
      <c r="G124" s="6" t="n"/>
      <c r="H124" s="6" t="n"/>
      <c r="I124" s="6" t="n"/>
      <c r="J124" s="7">
        <f>IF(OR(G125="",G125=0), "", IFERROR(I125/G125, ""))</f>
        <v/>
      </c>
      <c r="K124" s="6" t="n"/>
      <c r="L124" s="3" t="n"/>
    </row>
    <row r="125" ht="20.1" customHeight="1">
      <c r="A125" s="1" t="n"/>
      <c r="B125" s="2" t="n"/>
      <c r="C125" s="2" t="n"/>
      <c r="D125" s="3" t="n"/>
      <c r="E125" s="4">
        <f>IFERROR(VALUE(LEFT(D126,FIND(" - ",D126)-1)), "")</f>
        <v/>
      </c>
      <c r="F125" s="5">
        <f>IFERROR(VLOOKUP(E126,Product_Master!A:D,4,FALSE)&amp;"", "")</f>
        <v/>
      </c>
      <c r="G125" s="6" t="n"/>
      <c r="H125" s="6" t="n"/>
      <c r="I125" s="6" t="n"/>
      <c r="J125" s="7">
        <f>IF(OR(G126="",G126=0), "", IFERROR(I126/G126, ""))</f>
        <v/>
      </c>
      <c r="K125" s="6" t="n"/>
      <c r="L125" s="3" t="n"/>
    </row>
    <row r="126" ht="20.1" customHeight="1">
      <c r="A126" s="1" t="n"/>
      <c r="B126" s="2" t="n"/>
      <c r="C126" s="2" t="n"/>
      <c r="D126" s="3" t="n"/>
      <c r="E126" s="4">
        <f>IFERROR(VALUE(LEFT(D127,FIND(" - ",D127)-1)), "")</f>
        <v/>
      </c>
      <c r="F126" s="5">
        <f>IFERROR(VLOOKUP(E127,Product_Master!A:D,4,FALSE)&amp;"", "")</f>
        <v/>
      </c>
      <c r="G126" s="6" t="n"/>
      <c r="H126" s="6" t="n"/>
      <c r="I126" s="6" t="n"/>
      <c r="J126" s="7">
        <f>IF(OR(G127="",G127=0), "", IFERROR(I127/G127, ""))</f>
        <v/>
      </c>
      <c r="K126" s="6" t="n"/>
      <c r="L126" s="3" t="n"/>
    </row>
    <row r="127" ht="20.1" customHeight="1">
      <c r="A127" s="1" t="n"/>
      <c r="B127" s="2" t="n"/>
      <c r="C127" s="2" t="n"/>
      <c r="D127" s="3" t="n"/>
      <c r="E127" s="4">
        <f>IFERROR(VALUE(LEFT(D128,FIND(" - ",D128)-1)), "")</f>
        <v/>
      </c>
      <c r="F127" s="5">
        <f>IFERROR(VLOOKUP(E128,Product_Master!A:D,4,FALSE)&amp;"", "")</f>
        <v/>
      </c>
      <c r="G127" s="6" t="n"/>
      <c r="H127" s="6" t="n"/>
      <c r="I127" s="6" t="n"/>
      <c r="J127" s="7">
        <f>IF(OR(G128="",G128=0), "", IFERROR(I128/G128, ""))</f>
        <v/>
      </c>
      <c r="K127" s="6" t="n"/>
      <c r="L127" s="3" t="n"/>
    </row>
    <row r="128" ht="20.1" customHeight="1">
      <c r="A128" s="1" t="n"/>
      <c r="B128" s="2" t="n"/>
      <c r="C128" s="2" t="n"/>
      <c r="D128" s="3" t="n"/>
      <c r="E128" s="4">
        <f>IFERROR(VALUE(LEFT(D129,FIND(" - ",D129)-1)), "")</f>
        <v/>
      </c>
      <c r="F128" s="5">
        <f>IFERROR(VLOOKUP(E129,Product_Master!A:D,4,FALSE)&amp;"", "")</f>
        <v/>
      </c>
      <c r="G128" s="6" t="n"/>
      <c r="H128" s="6" t="n"/>
      <c r="I128" s="6" t="n"/>
      <c r="J128" s="7">
        <f>IF(OR(G129="",G129=0), "", IFERROR(I129/G129, ""))</f>
        <v/>
      </c>
      <c r="K128" s="6" t="n"/>
      <c r="L128" s="3" t="n"/>
    </row>
    <row r="129" ht="20.1" customHeight="1">
      <c r="A129" s="1" t="n"/>
      <c r="B129" s="2" t="n"/>
      <c r="C129" s="2" t="n"/>
      <c r="D129" s="3" t="n"/>
      <c r="E129" s="4">
        <f>IFERROR(VALUE(LEFT(D130,FIND(" - ",D130)-1)), "")</f>
        <v/>
      </c>
      <c r="F129" s="5">
        <f>IFERROR(VLOOKUP(E130,Product_Master!A:D,4,FALSE)&amp;"", "")</f>
        <v/>
      </c>
      <c r="G129" s="6" t="n"/>
      <c r="H129" s="6" t="n"/>
      <c r="I129" s="6" t="n"/>
      <c r="J129" s="7">
        <f>IF(OR(G130="",G130=0), "", IFERROR(I130/G130, ""))</f>
        <v/>
      </c>
      <c r="K129" s="6" t="n"/>
      <c r="L129" s="3" t="n"/>
    </row>
    <row r="130" ht="20.1" customHeight="1">
      <c r="A130" s="1" t="n"/>
      <c r="B130" s="2" t="n"/>
      <c r="C130" s="2" t="n"/>
      <c r="D130" s="3" t="n"/>
      <c r="E130" s="4">
        <f>IFERROR(VALUE(LEFT(D131,FIND(" - ",D131)-1)), "")</f>
        <v/>
      </c>
      <c r="F130" s="5">
        <f>IFERROR(VLOOKUP(E131,Product_Master!A:D,4,FALSE)&amp;"", "")</f>
        <v/>
      </c>
      <c r="G130" s="6" t="n"/>
      <c r="H130" s="6" t="n"/>
      <c r="I130" s="6" t="n"/>
      <c r="J130" s="7">
        <f>IF(OR(G131="",G131=0), "", IFERROR(I131/G131, ""))</f>
        <v/>
      </c>
      <c r="K130" s="6" t="n"/>
      <c r="L130" s="3" t="n"/>
    </row>
    <row r="131" ht="20.1" customHeight="1">
      <c r="A131" s="1" t="n"/>
      <c r="B131" s="2" t="n"/>
      <c r="C131" s="2" t="n"/>
      <c r="D131" s="3" t="n"/>
      <c r="E131" s="4">
        <f>IFERROR(VALUE(LEFT(D132,FIND(" - ",D132)-1)), "")</f>
        <v/>
      </c>
      <c r="F131" s="5">
        <f>IFERROR(VLOOKUP(E132,Product_Master!A:D,4,FALSE)&amp;"", "")</f>
        <v/>
      </c>
      <c r="G131" s="6" t="n"/>
      <c r="H131" s="6" t="n"/>
      <c r="I131" s="6" t="n"/>
      <c r="J131" s="7">
        <f>IF(OR(G132="",G132=0), "", IFERROR(I132/G132, ""))</f>
        <v/>
      </c>
      <c r="K131" s="6" t="n"/>
      <c r="L131" s="3" t="n"/>
    </row>
    <row r="132" ht="20.1" customHeight="1">
      <c r="A132" s="1" t="n"/>
      <c r="B132" s="2" t="n"/>
      <c r="C132" s="2" t="n"/>
      <c r="D132" s="3" t="n"/>
      <c r="E132" s="4">
        <f>IFERROR(VALUE(LEFT(D133,FIND(" - ",D133)-1)), "")</f>
        <v/>
      </c>
      <c r="F132" s="5">
        <f>IFERROR(VLOOKUP(E133,Product_Master!A:D,4,FALSE)&amp;"", "")</f>
        <v/>
      </c>
      <c r="G132" s="6" t="n"/>
      <c r="H132" s="6" t="n"/>
      <c r="I132" s="6" t="n"/>
      <c r="J132" s="7">
        <f>IF(OR(G133="",G133=0), "", IFERROR(I133/G133, ""))</f>
        <v/>
      </c>
      <c r="K132" s="6" t="n"/>
      <c r="L132" s="3" t="n"/>
    </row>
    <row r="133" ht="20.1" customHeight="1">
      <c r="A133" s="1" t="n"/>
      <c r="B133" s="2" t="n"/>
      <c r="C133" s="2" t="n"/>
      <c r="D133" s="3" t="n"/>
      <c r="E133" s="4">
        <f>IFERROR(VALUE(LEFT(D134,FIND(" - ",D134)-1)), "")</f>
        <v/>
      </c>
      <c r="F133" s="5">
        <f>IFERROR(VLOOKUP(E134,Product_Master!A:D,4,FALSE)&amp;"", "")</f>
        <v/>
      </c>
      <c r="G133" s="6" t="n"/>
      <c r="H133" s="6" t="n"/>
      <c r="I133" s="6" t="n"/>
      <c r="J133" s="7">
        <f>IF(OR(G134="",G134=0), "", IFERROR(I134/G134, ""))</f>
        <v/>
      </c>
      <c r="K133" s="6" t="n"/>
      <c r="L133" s="3" t="n"/>
    </row>
    <row r="134" ht="20.1" customHeight="1">
      <c r="A134" s="1" t="n"/>
      <c r="B134" s="2" t="n"/>
      <c r="C134" s="2" t="n"/>
      <c r="D134" s="3" t="n"/>
      <c r="E134" s="4">
        <f>IFERROR(VALUE(LEFT(D135,FIND(" - ",D135)-1)), "")</f>
        <v/>
      </c>
      <c r="F134" s="5">
        <f>IFERROR(VLOOKUP(E135,Product_Master!A:D,4,FALSE)&amp;"", "")</f>
        <v/>
      </c>
      <c r="G134" s="6" t="n"/>
      <c r="H134" s="6" t="n"/>
      <c r="I134" s="6" t="n"/>
      <c r="J134" s="7">
        <f>IF(OR(G135="",G135=0), "", IFERROR(I135/G135, ""))</f>
        <v/>
      </c>
      <c r="K134" s="6" t="n"/>
      <c r="L134" s="3" t="n"/>
    </row>
    <row r="135" ht="20.1" customHeight="1">
      <c r="A135" s="1" t="n"/>
      <c r="B135" s="2" t="n"/>
      <c r="C135" s="2" t="n"/>
      <c r="D135" s="3" t="n"/>
      <c r="E135" s="4">
        <f>IFERROR(VALUE(LEFT(D136,FIND(" - ",D136)-1)), "")</f>
        <v/>
      </c>
      <c r="F135" s="5">
        <f>IFERROR(VLOOKUP(E136,Product_Master!A:D,4,FALSE)&amp;"", "")</f>
        <v/>
      </c>
      <c r="G135" s="6" t="n"/>
      <c r="H135" s="6" t="n"/>
      <c r="I135" s="6" t="n"/>
      <c r="J135" s="7">
        <f>IF(OR(G136="",G136=0), "", IFERROR(I136/G136, ""))</f>
        <v/>
      </c>
      <c r="K135" s="6" t="n"/>
      <c r="L135" s="3" t="n"/>
    </row>
    <row r="136" ht="20.1" customHeight="1">
      <c r="A136" s="1" t="n"/>
      <c r="B136" s="2" t="n"/>
      <c r="C136" s="2" t="n"/>
      <c r="D136" s="3" t="n"/>
      <c r="E136" s="4">
        <f>IFERROR(VALUE(LEFT(D137,FIND(" - ",D137)-1)), "")</f>
        <v/>
      </c>
      <c r="F136" s="5">
        <f>IFERROR(VLOOKUP(E137,Product_Master!A:D,4,FALSE)&amp;"", "")</f>
        <v/>
      </c>
      <c r="G136" s="6" t="n"/>
      <c r="H136" s="6" t="n"/>
      <c r="I136" s="6" t="n"/>
      <c r="J136" s="7">
        <f>IF(OR(G137="",G137=0), "", IFERROR(I137/G137, ""))</f>
        <v/>
      </c>
      <c r="K136" s="6" t="n"/>
      <c r="L136" s="3" t="n"/>
    </row>
    <row r="137" ht="20.1" customHeight="1">
      <c r="A137" s="1" t="n"/>
      <c r="B137" s="2" t="n"/>
      <c r="C137" s="2" t="n"/>
      <c r="D137" s="3" t="n"/>
      <c r="E137" s="4">
        <f>IFERROR(VALUE(LEFT(D138,FIND(" - ",D138)-1)), "")</f>
        <v/>
      </c>
      <c r="F137" s="5">
        <f>IFERROR(VLOOKUP(E138,Product_Master!A:D,4,FALSE)&amp;"", "")</f>
        <v/>
      </c>
      <c r="G137" s="6" t="n"/>
      <c r="H137" s="6" t="n"/>
      <c r="I137" s="6" t="n"/>
      <c r="J137" s="7">
        <f>IF(OR(G138="",G138=0), "", IFERROR(I138/G138, ""))</f>
        <v/>
      </c>
      <c r="K137" s="6" t="n"/>
      <c r="L137" s="3" t="n"/>
    </row>
    <row r="138" ht="20.1" customHeight="1">
      <c r="A138" s="1" t="n"/>
      <c r="B138" s="2" t="n"/>
      <c r="C138" s="2" t="n"/>
      <c r="D138" s="3" t="n"/>
      <c r="E138" s="4">
        <f>IFERROR(VALUE(LEFT(D139,FIND(" - ",D139)-1)), "")</f>
        <v/>
      </c>
      <c r="F138" s="5">
        <f>IFERROR(VLOOKUP(E139,Product_Master!A:D,4,FALSE)&amp;"", "")</f>
        <v/>
      </c>
      <c r="G138" s="6" t="n"/>
      <c r="H138" s="6" t="n"/>
      <c r="I138" s="6" t="n"/>
      <c r="J138" s="7">
        <f>IF(OR(G139="",G139=0), "", IFERROR(I139/G139, ""))</f>
        <v/>
      </c>
      <c r="K138" s="6" t="n"/>
      <c r="L138" s="3" t="n"/>
    </row>
    <row r="139" ht="20.1" customHeight="1">
      <c r="A139" s="1" t="n"/>
      <c r="B139" s="2" t="n"/>
      <c r="C139" s="2" t="n"/>
      <c r="D139" s="3" t="n"/>
      <c r="E139" s="4">
        <f>IFERROR(VALUE(LEFT(D140,FIND(" - ",D140)-1)), "")</f>
        <v/>
      </c>
      <c r="F139" s="5">
        <f>IFERROR(VLOOKUP(E140,Product_Master!A:D,4,FALSE)&amp;"", "")</f>
        <v/>
      </c>
      <c r="G139" s="6" t="n"/>
      <c r="H139" s="6" t="n"/>
      <c r="I139" s="6" t="n"/>
      <c r="J139" s="7">
        <f>IF(OR(G140="",G140=0), "", IFERROR(I140/G140, ""))</f>
        <v/>
      </c>
      <c r="K139" s="6" t="n"/>
      <c r="L139" s="3" t="n"/>
    </row>
    <row r="140" ht="20.1" customHeight="1">
      <c r="A140" s="1" t="n"/>
      <c r="B140" s="2" t="n"/>
      <c r="C140" s="2" t="n"/>
      <c r="D140" s="3" t="n"/>
      <c r="E140" s="4">
        <f>IFERROR(VALUE(LEFT(D141,FIND(" - ",D141)-1)), "")</f>
        <v/>
      </c>
      <c r="F140" s="5">
        <f>IFERROR(VLOOKUP(E141,Product_Master!A:D,4,FALSE)&amp;"", "")</f>
        <v/>
      </c>
      <c r="G140" s="6" t="n"/>
      <c r="H140" s="6" t="n"/>
      <c r="I140" s="6" t="n"/>
      <c r="J140" s="7">
        <f>IF(OR(G141="",G141=0), "", IFERROR(I141/G141, ""))</f>
        <v/>
      </c>
      <c r="K140" s="6" t="n"/>
      <c r="L140" s="3" t="n"/>
    </row>
    <row r="141" ht="20.1" customHeight="1">
      <c r="A141" s="1" t="n"/>
      <c r="B141" s="2" t="n"/>
      <c r="C141" s="2" t="n"/>
      <c r="D141" s="3" t="n"/>
      <c r="E141" s="4">
        <f>IFERROR(VALUE(LEFT(D142,FIND(" - ",D142)-1)), "")</f>
        <v/>
      </c>
      <c r="F141" s="5">
        <f>IFERROR(VLOOKUP(E142,Product_Master!A:D,4,FALSE)&amp;"", "")</f>
        <v/>
      </c>
      <c r="G141" s="6" t="n"/>
      <c r="H141" s="6" t="n"/>
      <c r="I141" s="6" t="n"/>
      <c r="J141" s="7">
        <f>IF(OR(G142="",G142=0), "", IFERROR(I142/G142, ""))</f>
        <v/>
      </c>
      <c r="K141" s="6" t="n"/>
      <c r="L141" s="3" t="n"/>
    </row>
    <row r="142" ht="20.1" customHeight="1">
      <c r="A142" s="1" t="n"/>
      <c r="B142" s="2" t="n"/>
      <c r="C142" s="2" t="n"/>
      <c r="D142" s="3" t="n"/>
      <c r="E142" s="4">
        <f>IFERROR(VALUE(LEFT(D143,FIND(" - ",D143)-1)), "")</f>
        <v/>
      </c>
      <c r="F142" s="5">
        <f>IFERROR(VLOOKUP(E143,Product_Master!A:D,4,FALSE)&amp;"", "")</f>
        <v/>
      </c>
      <c r="G142" s="6" t="n"/>
      <c r="H142" s="6" t="n"/>
      <c r="I142" s="6" t="n"/>
      <c r="J142" s="7">
        <f>IF(OR(G143="",G143=0), "", IFERROR(I143/G143, ""))</f>
        <v/>
      </c>
      <c r="K142" s="6" t="n"/>
      <c r="L142" s="3" t="n"/>
    </row>
    <row r="143" ht="20.1" customHeight="1">
      <c r="A143" s="1" t="n"/>
      <c r="B143" s="2" t="n"/>
      <c r="C143" s="2" t="n"/>
      <c r="D143" s="3" t="n"/>
      <c r="E143" s="4">
        <f>IFERROR(VALUE(LEFT(D144,FIND(" - ",D144)-1)), "")</f>
        <v/>
      </c>
      <c r="F143" s="5">
        <f>IFERROR(VLOOKUP(E144,Product_Master!A:D,4,FALSE)&amp;"", "")</f>
        <v/>
      </c>
      <c r="G143" s="6" t="n"/>
      <c r="H143" s="6" t="n"/>
      <c r="I143" s="6" t="n"/>
      <c r="J143" s="7">
        <f>IF(OR(G144="",G144=0), "", IFERROR(I144/G144, ""))</f>
        <v/>
      </c>
      <c r="K143" s="6" t="n"/>
      <c r="L143" s="3" t="n"/>
    </row>
    <row r="144" ht="20.1" customHeight="1">
      <c r="A144" s="1" t="n"/>
      <c r="B144" s="2" t="n"/>
      <c r="C144" s="2" t="n"/>
      <c r="D144" s="3" t="n"/>
      <c r="E144" s="4">
        <f>IFERROR(VALUE(LEFT(D145,FIND(" - ",D145)-1)), "")</f>
        <v/>
      </c>
      <c r="F144" s="5">
        <f>IFERROR(VLOOKUP(E145,Product_Master!A:D,4,FALSE)&amp;"", "")</f>
        <v/>
      </c>
      <c r="G144" s="6" t="n"/>
      <c r="H144" s="6" t="n"/>
      <c r="I144" s="6" t="n"/>
      <c r="J144" s="7">
        <f>IF(OR(G145="",G145=0), "", IFERROR(I145/G145, ""))</f>
        <v/>
      </c>
      <c r="K144" s="6" t="n"/>
      <c r="L144" s="3" t="n"/>
    </row>
    <row r="145" ht="20.1" customHeight="1">
      <c r="A145" s="1" t="n"/>
      <c r="B145" s="2" t="n"/>
      <c r="C145" s="2" t="n"/>
      <c r="D145" s="3" t="n"/>
      <c r="E145" s="4">
        <f>IFERROR(VALUE(LEFT(D146,FIND(" - ",D146)-1)), "")</f>
        <v/>
      </c>
      <c r="F145" s="5">
        <f>IFERROR(VLOOKUP(E146,Product_Master!A:D,4,FALSE)&amp;"", "")</f>
        <v/>
      </c>
      <c r="G145" s="6" t="n"/>
      <c r="H145" s="6" t="n"/>
      <c r="I145" s="6" t="n"/>
      <c r="J145" s="7">
        <f>IF(OR(G146="",G146=0), "", IFERROR(I146/G146, ""))</f>
        <v/>
      </c>
      <c r="K145" s="6" t="n"/>
      <c r="L145" s="3" t="n"/>
    </row>
    <row r="146" ht="20.1" customHeight="1">
      <c r="A146" s="1" t="n"/>
      <c r="B146" s="2" t="n"/>
      <c r="C146" s="2" t="n"/>
      <c r="D146" s="3" t="n"/>
      <c r="E146" s="4">
        <f>IFERROR(VALUE(LEFT(D147,FIND(" - ",D147)-1)), "")</f>
        <v/>
      </c>
      <c r="F146" s="5">
        <f>IFERROR(VLOOKUP(E147,Product_Master!A:D,4,FALSE)&amp;"", "")</f>
        <v/>
      </c>
      <c r="G146" s="6" t="n"/>
      <c r="H146" s="6" t="n"/>
      <c r="I146" s="6" t="n"/>
      <c r="J146" s="7">
        <f>IF(OR(G147="",G147=0), "", IFERROR(I147/G147, ""))</f>
        <v/>
      </c>
      <c r="K146" s="6" t="n"/>
      <c r="L146" s="3" t="n"/>
    </row>
    <row r="147" ht="20.1" customHeight="1">
      <c r="A147" s="1" t="n"/>
      <c r="B147" s="2" t="n"/>
      <c r="C147" s="2" t="n"/>
      <c r="D147" s="3" t="n"/>
      <c r="E147" s="4">
        <f>IFERROR(VALUE(LEFT(D148,FIND(" - ",D148)-1)), "")</f>
        <v/>
      </c>
      <c r="F147" s="5">
        <f>IFERROR(VLOOKUP(E148,Product_Master!A:D,4,FALSE)&amp;"", "")</f>
        <v/>
      </c>
      <c r="G147" s="6" t="n"/>
      <c r="H147" s="6" t="n"/>
      <c r="I147" s="6" t="n"/>
      <c r="J147" s="7">
        <f>IF(OR(G148="",G148=0), "", IFERROR(I148/G148, ""))</f>
        <v/>
      </c>
      <c r="K147" s="6" t="n"/>
      <c r="L147" s="3" t="n"/>
    </row>
    <row r="148" ht="20.1" customHeight="1">
      <c r="A148" s="1" t="n"/>
      <c r="B148" s="2" t="n"/>
      <c r="C148" s="2" t="n"/>
      <c r="D148" s="3" t="n"/>
      <c r="E148" s="4">
        <f>IFERROR(VALUE(LEFT(D149,FIND(" - ",D149)-1)), "")</f>
        <v/>
      </c>
      <c r="F148" s="5">
        <f>IFERROR(VLOOKUP(E149,Product_Master!A:D,4,FALSE)&amp;"", "")</f>
        <v/>
      </c>
      <c r="G148" s="6" t="n"/>
      <c r="H148" s="6" t="n"/>
      <c r="I148" s="6" t="n"/>
      <c r="J148" s="7">
        <f>IF(OR(G149="",G149=0), "", IFERROR(I149/G149, ""))</f>
        <v/>
      </c>
      <c r="K148" s="6" t="n"/>
      <c r="L148" s="3" t="n"/>
    </row>
    <row r="149" ht="20.1" customHeight="1">
      <c r="A149" s="1" t="n"/>
      <c r="B149" s="2" t="n"/>
      <c r="C149" s="2" t="n"/>
      <c r="D149" s="3" t="n"/>
      <c r="E149" s="4">
        <f>IFERROR(VALUE(LEFT(D150,FIND(" - ",D150)-1)), "")</f>
        <v/>
      </c>
      <c r="F149" s="5">
        <f>IFERROR(VLOOKUP(E150,Product_Master!A:D,4,FALSE)&amp;"", "")</f>
        <v/>
      </c>
      <c r="G149" s="6" t="n"/>
      <c r="H149" s="6" t="n"/>
      <c r="I149" s="6" t="n"/>
      <c r="J149" s="7">
        <f>IF(OR(G150="",G150=0), "", IFERROR(I150/G150, ""))</f>
        <v/>
      </c>
      <c r="K149" s="6" t="n"/>
      <c r="L149" s="3" t="n"/>
    </row>
    <row r="150" ht="20.1" customHeight="1">
      <c r="A150" s="1" t="n"/>
      <c r="B150" s="2" t="n"/>
      <c r="C150" s="2" t="n"/>
      <c r="D150" s="3" t="n"/>
      <c r="E150" s="4">
        <f>IFERROR(VALUE(LEFT(D151,FIND(" - ",D151)-1)), "")</f>
        <v/>
      </c>
      <c r="F150" s="5">
        <f>IFERROR(VLOOKUP(E151,Product_Master!A:D,4,FALSE)&amp;"", "")</f>
        <v/>
      </c>
      <c r="G150" s="6" t="n"/>
      <c r="H150" s="6" t="n"/>
      <c r="I150" s="6" t="n"/>
      <c r="J150" s="7">
        <f>IF(OR(G151="",G151=0), "", IFERROR(I151/G151, ""))</f>
        <v/>
      </c>
      <c r="K150" s="6" t="n"/>
      <c r="L150" s="3" t="n"/>
    </row>
    <row r="151" ht="20.1" customHeight="1">
      <c r="A151" s="1" t="n"/>
      <c r="B151" s="2" t="n"/>
      <c r="C151" s="2" t="n"/>
      <c r="D151" s="3" t="n"/>
      <c r="E151" s="4">
        <f>IFERROR(VALUE(LEFT(D152,FIND(" - ",D152)-1)), "")</f>
        <v/>
      </c>
      <c r="F151" s="5">
        <f>IFERROR(VLOOKUP(E152,Product_Master!A:D,4,FALSE)&amp;"", "")</f>
        <v/>
      </c>
      <c r="G151" s="6" t="n"/>
      <c r="H151" s="6" t="n"/>
      <c r="I151" s="6" t="n"/>
      <c r="J151" s="7">
        <f>IF(OR(G152="",G152=0), "", IFERROR(I152/G152, ""))</f>
        <v/>
      </c>
      <c r="K151" s="6" t="n"/>
      <c r="L151" s="3" t="n"/>
    </row>
    <row r="152" ht="20.1" customHeight="1">
      <c r="A152" s="1" t="n"/>
      <c r="B152" s="2" t="n"/>
      <c r="C152" s="2" t="n"/>
      <c r="D152" s="3" t="n"/>
      <c r="E152" s="4">
        <f>IFERROR(VALUE(LEFT(D153,FIND(" - ",D153)-1)), "")</f>
        <v/>
      </c>
      <c r="F152" s="5">
        <f>IFERROR(VLOOKUP(E153,Product_Master!A:D,4,FALSE)&amp;"", "")</f>
        <v/>
      </c>
      <c r="G152" s="6" t="n"/>
      <c r="H152" s="6" t="n"/>
      <c r="I152" s="6" t="n"/>
      <c r="J152" s="7">
        <f>IF(OR(G153="",G153=0), "", IFERROR(I153/G153, ""))</f>
        <v/>
      </c>
      <c r="K152" s="6" t="n"/>
      <c r="L152" s="3" t="n"/>
    </row>
    <row r="153" ht="20.1" customHeight="1">
      <c r="A153" s="1" t="n"/>
      <c r="B153" s="2" t="n"/>
      <c r="C153" s="2" t="n"/>
      <c r="D153" s="3" t="n"/>
      <c r="E153" s="4">
        <f>IFERROR(VALUE(LEFT(D154,FIND(" - ",D154)-1)), "")</f>
        <v/>
      </c>
      <c r="F153" s="5">
        <f>IFERROR(VLOOKUP(E154,Product_Master!A:D,4,FALSE)&amp;"", "")</f>
        <v/>
      </c>
      <c r="G153" s="6" t="n"/>
      <c r="H153" s="6" t="n"/>
      <c r="I153" s="6" t="n"/>
      <c r="J153" s="7">
        <f>IF(OR(G154="",G154=0), "", IFERROR(I154/G154, ""))</f>
        <v/>
      </c>
      <c r="K153" s="6" t="n"/>
      <c r="L153" s="3" t="n"/>
    </row>
    <row r="154" ht="20.1" customHeight="1">
      <c r="A154" s="1" t="n"/>
      <c r="B154" s="2" t="n"/>
      <c r="C154" s="2" t="n"/>
      <c r="D154" s="3" t="n"/>
      <c r="E154" s="4">
        <f>IFERROR(VALUE(LEFT(D155,FIND(" - ",D155)-1)), "")</f>
        <v/>
      </c>
      <c r="F154" s="5">
        <f>IFERROR(VLOOKUP(E155,Product_Master!A:D,4,FALSE)&amp;"", "")</f>
        <v/>
      </c>
      <c r="G154" s="6" t="n"/>
      <c r="H154" s="6" t="n"/>
      <c r="I154" s="6" t="n"/>
      <c r="J154" s="7">
        <f>IF(OR(G155="",G155=0), "", IFERROR(I155/G155, ""))</f>
        <v/>
      </c>
      <c r="K154" s="6" t="n"/>
      <c r="L154" s="3" t="n"/>
    </row>
    <row r="155" ht="20.1" customHeight="1">
      <c r="A155" s="1" t="n"/>
      <c r="B155" s="2" t="n"/>
      <c r="C155" s="2" t="n"/>
      <c r="D155" s="3" t="n"/>
      <c r="E155" s="4">
        <f>IFERROR(VALUE(LEFT(D156,FIND(" - ",D156)-1)), "")</f>
        <v/>
      </c>
      <c r="F155" s="5">
        <f>IFERROR(VLOOKUP(E156,Product_Master!A:D,4,FALSE)&amp;"", "")</f>
        <v/>
      </c>
      <c r="G155" s="6" t="n"/>
      <c r="H155" s="6" t="n"/>
      <c r="I155" s="6" t="n"/>
      <c r="J155" s="7">
        <f>IF(OR(G156="",G156=0), "", IFERROR(I156/G156, ""))</f>
        <v/>
      </c>
      <c r="K155" s="6" t="n"/>
      <c r="L155" s="3" t="n"/>
    </row>
    <row r="156" ht="20.1" customHeight="1">
      <c r="A156" s="1" t="n"/>
      <c r="B156" s="2" t="n"/>
      <c r="C156" s="2" t="n"/>
      <c r="D156" s="3" t="n"/>
      <c r="E156" s="4">
        <f>IFERROR(VALUE(LEFT(D157,FIND(" - ",D157)-1)), "")</f>
        <v/>
      </c>
      <c r="F156" s="5">
        <f>IFERROR(VLOOKUP(E157,Product_Master!A:D,4,FALSE)&amp;"", "")</f>
        <v/>
      </c>
      <c r="G156" s="6" t="n"/>
      <c r="H156" s="6" t="n"/>
      <c r="I156" s="6" t="n"/>
      <c r="J156" s="7">
        <f>IF(OR(G157="",G157=0), "", IFERROR(I157/G157, ""))</f>
        <v/>
      </c>
      <c r="K156" s="6" t="n"/>
      <c r="L156" s="3" t="n"/>
    </row>
    <row r="157" ht="20.1" customHeight="1">
      <c r="A157" s="1" t="n"/>
      <c r="B157" s="2" t="n"/>
      <c r="C157" s="2" t="n"/>
      <c r="D157" s="3" t="n"/>
      <c r="E157" s="4">
        <f>IFERROR(VALUE(LEFT(D158,FIND(" - ",D158)-1)), "")</f>
        <v/>
      </c>
      <c r="F157" s="5">
        <f>IFERROR(VLOOKUP(E158,Product_Master!A:D,4,FALSE)&amp;"", "")</f>
        <v/>
      </c>
      <c r="G157" s="6" t="n"/>
      <c r="H157" s="6" t="n"/>
      <c r="I157" s="6" t="n"/>
      <c r="J157" s="7">
        <f>IF(OR(G158="",G158=0), "", IFERROR(I158/G158, ""))</f>
        <v/>
      </c>
      <c r="K157" s="6" t="n"/>
      <c r="L157" s="3" t="n"/>
    </row>
    <row r="158" ht="20.1" customHeight="1">
      <c r="A158" s="1" t="n"/>
      <c r="B158" s="2" t="n"/>
      <c r="C158" s="2" t="n"/>
      <c r="D158" s="3" t="n"/>
      <c r="E158" s="4">
        <f>IFERROR(VALUE(LEFT(D159,FIND(" - ",D159)-1)), "")</f>
        <v/>
      </c>
      <c r="F158" s="5">
        <f>IFERROR(VLOOKUP(E159,Product_Master!A:D,4,FALSE)&amp;"", "")</f>
        <v/>
      </c>
      <c r="G158" s="6" t="n"/>
      <c r="H158" s="6" t="n"/>
      <c r="I158" s="6" t="n"/>
      <c r="J158" s="7">
        <f>IF(OR(G159="",G159=0), "", IFERROR(I159/G159, ""))</f>
        <v/>
      </c>
      <c r="K158" s="6" t="n"/>
      <c r="L158" s="3" t="n"/>
    </row>
    <row r="159" ht="20.1" customHeight="1">
      <c r="A159" s="1" t="n"/>
      <c r="B159" s="2" t="n"/>
      <c r="C159" s="2" t="n"/>
      <c r="D159" s="3" t="n"/>
      <c r="E159" s="4">
        <f>IFERROR(VALUE(LEFT(D160,FIND(" - ",D160)-1)), "")</f>
        <v/>
      </c>
      <c r="F159" s="5">
        <f>IFERROR(VLOOKUP(E160,Product_Master!A:D,4,FALSE)&amp;"", "")</f>
        <v/>
      </c>
      <c r="G159" s="6" t="n"/>
      <c r="H159" s="6" t="n"/>
      <c r="I159" s="6" t="n"/>
      <c r="J159" s="7">
        <f>IF(OR(G160="",G160=0), "", IFERROR(I160/G160, ""))</f>
        <v/>
      </c>
      <c r="K159" s="6" t="n"/>
      <c r="L159" s="3" t="n"/>
    </row>
    <row r="160" ht="20.1" customHeight="1">
      <c r="A160" s="1" t="n"/>
      <c r="B160" s="2" t="n"/>
      <c r="C160" s="2" t="n"/>
      <c r="D160" s="3" t="n"/>
      <c r="E160" s="4">
        <f>IFERROR(VALUE(LEFT(D161,FIND(" - ",D161)-1)), "")</f>
        <v/>
      </c>
      <c r="F160" s="5">
        <f>IFERROR(VLOOKUP(E161,Product_Master!A:D,4,FALSE)&amp;"", "")</f>
        <v/>
      </c>
      <c r="G160" s="6" t="n"/>
      <c r="H160" s="6" t="n"/>
      <c r="I160" s="6" t="n"/>
      <c r="J160" s="7">
        <f>IF(OR(G161="",G161=0), "", IFERROR(I161/G161, ""))</f>
        <v/>
      </c>
      <c r="K160" s="6" t="n"/>
      <c r="L160" s="3" t="n"/>
    </row>
    <row r="161" ht="20.1" customHeight="1">
      <c r="A161" s="1" t="n"/>
      <c r="B161" s="2" t="n"/>
      <c r="C161" s="2" t="n"/>
      <c r="D161" s="3" t="n"/>
      <c r="E161" s="4">
        <f>IFERROR(VALUE(LEFT(D162,FIND(" - ",D162)-1)), "")</f>
        <v/>
      </c>
      <c r="F161" s="5">
        <f>IFERROR(VLOOKUP(E162,Product_Master!A:D,4,FALSE)&amp;"", "")</f>
        <v/>
      </c>
      <c r="G161" s="6" t="n"/>
      <c r="H161" s="6" t="n"/>
      <c r="I161" s="6" t="n"/>
      <c r="J161" s="7">
        <f>IF(OR(G162="",G162=0), "", IFERROR(I162/G162, ""))</f>
        <v/>
      </c>
      <c r="K161" s="6" t="n"/>
      <c r="L161" s="3" t="n"/>
    </row>
    <row r="162" ht="20.1" customHeight="1">
      <c r="A162" s="1" t="n"/>
      <c r="B162" s="2" t="n"/>
      <c r="C162" s="2" t="n"/>
      <c r="D162" s="3" t="n"/>
      <c r="E162" s="4">
        <f>IFERROR(VALUE(LEFT(D163,FIND(" - ",D163)-1)), "")</f>
        <v/>
      </c>
      <c r="F162" s="5">
        <f>IFERROR(VLOOKUP(E163,Product_Master!A:D,4,FALSE)&amp;"", "")</f>
        <v/>
      </c>
      <c r="G162" s="6" t="n"/>
      <c r="H162" s="6" t="n"/>
      <c r="I162" s="6" t="n"/>
      <c r="J162" s="7">
        <f>IF(OR(G163="",G163=0), "", IFERROR(I163/G163, ""))</f>
        <v/>
      </c>
      <c r="K162" s="6" t="n"/>
      <c r="L162" s="3" t="n"/>
    </row>
    <row r="163" ht="20.1" customHeight="1">
      <c r="A163" s="1" t="n"/>
      <c r="B163" s="2" t="n"/>
      <c r="C163" s="2" t="n"/>
      <c r="D163" s="3" t="n"/>
      <c r="E163" s="4">
        <f>IFERROR(VALUE(LEFT(D164,FIND(" - ",D164)-1)), "")</f>
        <v/>
      </c>
      <c r="F163" s="5">
        <f>IFERROR(VLOOKUP(E164,Product_Master!A:D,4,FALSE)&amp;"", "")</f>
        <v/>
      </c>
      <c r="G163" s="6" t="n"/>
      <c r="H163" s="6" t="n"/>
      <c r="I163" s="6" t="n"/>
      <c r="J163" s="7">
        <f>IF(OR(G164="",G164=0), "", IFERROR(I164/G164, ""))</f>
        <v/>
      </c>
      <c r="K163" s="6" t="n"/>
      <c r="L163" s="3" t="n"/>
    </row>
    <row r="164" ht="20.1" customHeight="1">
      <c r="A164" s="1" t="n"/>
      <c r="B164" s="2" t="n"/>
      <c r="C164" s="2" t="n"/>
      <c r="D164" s="3" t="n"/>
      <c r="E164" s="4">
        <f>IFERROR(VALUE(LEFT(D165,FIND(" - ",D165)-1)), "")</f>
        <v/>
      </c>
      <c r="F164" s="5">
        <f>IFERROR(VLOOKUP(E165,Product_Master!A:D,4,FALSE)&amp;"", "")</f>
        <v/>
      </c>
      <c r="G164" s="6" t="n"/>
      <c r="H164" s="6" t="n"/>
      <c r="I164" s="6" t="n"/>
      <c r="J164" s="7">
        <f>IF(OR(G165="",G165=0), "", IFERROR(I165/G165, ""))</f>
        <v/>
      </c>
      <c r="K164" s="6" t="n"/>
      <c r="L164" s="3" t="n"/>
    </row>
    <row r="165" ht="20.1" customHeight="1">
      <c r="A165" s="1" t="n"/>
      <c r="B165" s="2" t="n"/>
      <c r="C165" s="2" t="n"/>
      <c r="D165" s="3" t="n"/>
      <c r="E165" s="4">
        <f>IFERROR(VALUE(LEFT(D166,FIND(" - ",D166)-1)), "")</f>
        <v/>
      </c>
      <c r="F165" s="5">
        <f>IFERROR(VLOOKUP(E166,Product_Master!A:D,4,FALSE)&amp;"", "")</f>
        <v/>
      </c>
      <c r="G165" s="6" t="n"/>
      <c r="H165" s="6" t="n"/>
      <c r="I165" s="6" t="n"/>
      <c r="J165" s="7">
        <f>IF(OR(G166="",G166=0), "", IFERROR(I166/G166, ""))</f>
        <v/>
      </c>
      <c r="K165" s="6" t="n"/>
      <c r="L165" s="3" t="n"/>
    </row>
    <row r="166" ht="20.1" customHeight="1">
      <c r="A166" s="1" t="n"/>
      <c r="B166" s="2" t="n"/>
      <c r="C166" s="2" t="n"/>
      <c r="D166" s="3" t="n"/>
      <c r="E166" s="4">
        <f>IFERROR(VALUE(LEFT(D167,FIND(" - ",D167)-1)), "")</f>
        <v/>
      </c>
      <c r="F166" s="5">
        <f>IFERROR(VLOOKUP(E167,Product_Master!A:D,4,FALSE)&amp;"", "")</f>
        <v/>
      </c>
      <c r="G166" s="6" t="n"/>
      <c r="H166" s="6" t="n"/>
      <c r="I166" s="6" t="n"/>
      <c r="J166" s="7">
        <f>IF(OR(G167="",G167=0), "", IFERROR(I167/G167, ""))</f>
        <v/>
      </c>
      <c r="K166" s="6" t="n"/>
      <c r="L166" s="3" t="n"/>
    </row>
    <row r="167" ht="20.1" customHeight="1">
      <c r="A167" s="1" t="n"/>
      <c r="B167" s="2" t="n"/>
      <c r="C167" s="2" t="n"/>
      <c r="D167" s="3" t="n"/>
      <c r="E167" s="4">
        <f>IFERROR(VALUE(LEFT(D168,FIND(" - ",D168)-1)), "")</f>
        <v/>
      </c>
      <c r="F167" s="5">
        <f>IFERROR(VLOOKUP(E168,Product_Master!A:D,4,FALSE)&amp;"", "")</f>
        <v/>
      </c>
      <c r="G167" s="6" t="n"/>
      <c r="H167" s="6" t="n"/>
      <c r="I167" s="6" t="n"/>
      <c r="J167" s="7">
        <f>IF(OR(G168="",G168=0), "", IFERROR(I168/G168, ""))</f>
        <v/>
      </c>
      <c r="K167" s="6" t="n"/>
      <c r="L167" s="3" t="n"/>
    </row>
    <row r="168" ht="20.1" customHeight="1">
      <c r="A168" s="1" t="n"/>
      <c r="B168" s="2" t="n"/>
      <c r="C168" s="2" t="n"/>
      <c r="D168" s="3" t="n"/>
      <c r="E168" s="4">
        <f>IFERROR(VALUE(LEFT(D169,FIND(" - ",D169)-1)), "")</f>
        <v/>
      </c>
      <c r="F168" s="5">
        <f>IFERROR(VLOOKUP(E169,Product_Master!A:D,4,FALSE)&amp;"", "")</f>
        <v/>
      </c>
      <c r="G168" s="6" t="n"/>
      <c r="H168" s="6" t="n"/>
      <c r="I168" s="6" t="n"/>
      <c r="J168" s="7">
        <f>IF(OR(G169="",G169=0), "", IFERROR(I169/G169, ""))</f>
        <v/>
      </c>
      <c r="K168" s="6" t="n"/>
      <c r="L168" s="3" t="n"/>
    </row>
    <row r="169" ht="20.1" customHeight="1">
      <c r="A169" s="1" t="n"/>
      <c r="B169" s="2" t="n"/>
      <c r="C169" s="2" t="n"/>
      <c r="D169" s="3" t="n"/>
      <c r="E169" s="4">
        <f>IFERROR(VALUE(LEFT(D170,FIND(" - ",D170)-1)), "")</f>
        <v/>
      </c>
      <c r="F169" s="5">
        <f>IFERROR(VLOOKUP(E170,Product_Master!A:D,4,FALSE)&amp;"", "")</f>
        <v/>
      </c>
      <c r="G169" s="6" t="n"/>
      <c r="H169" s="6" t="n"/>
      <c r="I169" s="6" t="n"/>
      <c r="J169" s="7">
        <f>IF(OR(G170="",G170=0), "", IFERROR(I170/G170, ""))</f>
        <v/>
      </c>
      <c r="K169" s="6" t="n"/>
      <c r="L169" s="3" t="n"/>
    </row>
    <row r="170" ht="20.1" customHeight="1">
      <c r="A170" s="1" t="n"/>
      <c r="B170" s="2" t="n"/>
      <c r="C170" s="2" t="n"/>
      <c r="D170" s="3" t="n"/>
      <c r="E170" s="4">
        <f>IFERROR(VALUE(LEFT(D171,FIND(" - ",D171)-1)), "")</f>
        <v/>
      </c>
      <c r="F170" s="5">
        <f>IFERROR(VLOOKUP(E171,Product_Master!A:D,4,FALSE)&amp;"", "")</f>
        <v/>
      </c>
      <c r="G170" s="6" t="n"/>
      <c r="H170" s="6" t="n"/>
      <c r="I170" s="6" t="n"/>
      <c r="J170" s="7">
        <f>IF(OR(G171="",G171=0), "", IFERROR(I171/G171, ""))</f>
        <v/>
      </c>
      <c r="K170" s="6" t="n"/>
      <c r="L170" s="3" t="n"/>
    </row>
    <row r="171" ht="20.1" customHeight="1">
      <c r="A171" s="1" t="n"/>
      <c r="B171" s="2" t="n"/>
      <c r="C171" s="2" t="n"/>
      <c r="D171" s="3" t="n"/>
      <c r="E171" s="4">
        <f>IFERROR(VALUE(LEFT(D172,FIND(" - ",D172)-1)), "")</f>
        <v/>
      </c>
      <c r="F171" s="5">
        <f>IFERROR(VLOOKUP(E172,Product_Master!A:D,4,FALSE)&amp;"", "")</f>
        <v/>
      </c>
      <c r="G171" s="6" t="n"/>
      <c r="H171" s="6" t="n"/>
      <c r="I171" s="6" t="n"/>
      <c r="J171" s="7">
        <f>IF(OR(G172="",G172=0), "", IFERROR(I172/G172, ""))</f>
        <v/>
      </c>
      <c r="K171" s="6" t="n"/>
      <c r="L171" s="3" t="n"/>
    </row>
    <row r="172" ht="20.1" customHeight="1">
      <c r="A172" s="1" t="n"/>
      <c r="B172" s="2" t="n"/>
      <c r="C172" s="2" t="n"/>
      <c r="D172" s="3" t="n"/>
      <c r="E172" s="4">
        <f>IFERROR(VALUE(LEFT(D173,FIND(" - ",D173)-1)), "")</f>
        <v/>
      </c>
      <c r="F172" s="5">
        <f>IFERROR(VLOOKUP(E173,Product_Master!A:D,4,FALSE)&amp;"", "")</f>
        <v/>
      </c>
      <c r="G172" s="6" t="n"/>
      <c r="H172" s="6" t="n"/>
      <c r="I172" s="6" t="n"/>
      <c r="J172" s="7">
        <f>IF(OR(G173="",G173=0), "", IFERROR(I173/G173, ""))</f>
        <v/>
      </c>
      <c r="K172" s="6" t="n"/>
      <c r="L172" s="3" t="n"/>
    </row>
    <row r="173" ht="20.1" customHeight="1">
      <c r="A173" s="1" t="n"/>
      <c r="B173" s="2" t="n"/>
      <c r="C173" s="2" t="n"/>
      <c r="D173" s="3" t="n"/>
      <c r="E173" s="4">
        <f>IFERROR(VALUE(LEFT(D174,FIND(" - ",D174)-1)), "")</f>
        <v/>
      </c>
      <c r="F173" s="5">
        <f>IFERROR(VLOOKUP(E174,Product_Master!A:D,4,FALSE)&amp;"", "")</f>
        <v/>
      </c>
      <c r="G173" s="6" t="n"/>
      <c r="H173" s="6" t="n"/>
      <c r="I173" s="6" t="n"/>
      <c r="J173" s="7">
        <f>IF(OR(G174="",G174=0), "", IFERROR(I174/G174, ""))</f>
        <v/>
      </c>
      <c r="K173" s="6" t="n"/>
      <c r="L173" s="3" t="n"/>
    </row>
    <row r="174" ht="20.1" customHeight="1">
      <c r="A174" s="1" t="n"/>
      <c r="B174" s="2" t="n"/>
      <c r="C174" s="2" t="n"/>
      <c r="D174" s="3" t="n"/>
      <c r="E174" s="4">
        <f>IFERROR(VALUE(LEFT(D175,FIND(" - ",D175)-1)), "")</f>
        <v/>
      </c>
      <c r="F174" s="5">
        <f>IFERROR(VLOOKUP(E175,Product_Master!A:D,4,FALSE)&amp;"", "")</f>
        <v/>
      </c>
      <c r="G174" s="6" t="n"/>
      <c r="H174" s="6" t="n"/>
      <c r="I174" s="6" t="n"/>
      <c r="J174" s="7">
        <f>IF(OR(G175="",G175=0), "", IFERROR(I175/G175, ""))</f>
        <v/>
      </c>
      <c r="K174" s="6" t="n"/>
      <c r="L174" s="3" t="n"/>
    </row>
    <row r="175" ht="20.1" customHeight="1">
      <c r="A175" s="1" t="n"/>
      <c r="B175" s="2" t="n"/>
      <c r="C175" s="2" t="n"/>
      <c r="D175" s="3" t="n"/>
      <c r="E175" s="4">
        <f>IFERROR(VALUE(LEFT(D176,FIND(" - ",D176)-1)), "")</f>
        <v/>
      </c>
      <c r="F175" s="5">
        <f>IFERROR(VLOOKUP(E176,Product_Master!A:D,4,FALSE)&amp;"", "")</f>
        <v/>
      </c>
      <c r="G175" s="6" t="n"/>
      <c r="H175" s="6" t="n"/>
      <c r="I175" s="6" t="n"/>
      <c r="J175" s="7">
        <f>IF(OR(G176="",G176=0), "", IFERROR(I176/G176, ""))</f>
        <v/>
      </c>
      <c r="K175" s="6" t="n"/>
      <c r="L175" s="3" t="n"/>
    </row>
    <row r="176" ht="20.1" customHeight="1">
      <c r="A176" s="1" t="n"/>
      <c r="B176" s="2" t="n"/>
      <c r="C176" s="2" t="n"/>
      <c r="D176" s="3" t="n"/>
      <c r="E176" s="4">
        <f>IFERROR(VALUE(LEFT(D177,FIND(" - ",D177)-1)), "")</f>
        <v/>
      </c>
      <c r="F176" s="5">
        <f>IFERROR(VLOOKUP(E177,Product_Master!A:D,4,FALSE)&amp;"", "")</f>
        <v/>
      </c>
      <c r="G176" s="6" t="n"/>
      <c r="H176" s="6" t="n"/>
      <c r="I176" s="6" t="n"/>
      <c r="J176" s="7">
        <f>IF(OR(G177="",G177=0), "", IFERROR(I177/G177, ""))</f>
        <v/>
      </c>
      <c r="K176" s="6" t="n"/>
      <c r="L176" s="3" t="n"/>
    </row>
    <row r="177" ht="20.1" customHeight="1">
      <c r="A177" s="1" t="n"/>
      <c r="B177" s="2" t="n"/>
      <c r="C177" s="2" t="n"/>
      <c r="D177" s="3" t="n"/>
      <c r="E177" s="4">
        <f>IFERROR(VALUE(LEFT(D178,FIND(" - ",D178)-1)), "")</f>
        <v/>
      </c>
      <c r="F177" s="5">
        <f>IFERROR(VLOOKUP(E178,Product_Master!A:D,4,FALSE)&amp;"", "")</f>
        <v/>
      </c>
      <c r="G177" s="6" t="n"/>
      <c r="H177" s="6" t="n"/>
      <c r="I177" s="6" t="n"/>
      <c r="J177" s="7">
        <f>IF(OR(G178="",G178=0), "", IFERROR(I178/G178, ""))</f>
        <v/>
      </c>
      <c r="K177" s="6" t="n"/>
      <c r="L177" s="3" t="n"/>
    </row>
    <row r="178" ht="20.1" customHeight="1">
      <c r="A178" s="1" t="n"/>
      <c r="B178" s="2" t="n"/>
      <c r="C178" s="2" t="n"/>
      <c r="D178" s="3" t="n"/>
      <c r="E178" s="4">
        <f>IFERROR(VALUE(LEFT(D179,FIND(" - ",D179)-1)), "")</f>
        <v/>
      </c>
      <c r="F178" s="5">
        <f>IFERROR(VLOOKUP(E179,Product_Master!A:D,4,FALSE)&amp;"", "")</f>
        <v/>
      </c>
      <c r="G178" s="6" t="n"/>
      <c r="H178" s="6" t="n"/>
      <c r="I178" s="6" t="n"/>
      <c r="J178" s="7">
        <f>IF(OR(G179="",G179=0), "", IFERROR(I179/G179, ""))</f>
        <v/>
      </c>
      <c r="K178" s="6" t="n"/>
      <c r="L178" s="3" t="n"/>
    </row>
    <row r="179" ht="20.1" customHeight="1">
      <c r="A179" s="1" t="n"/>
      <c r="B179" s="2" t="n"/>
      <c r="C179" s="2" t="n"/>
      <c r="D179" s="3" t="n"/>
      <c r="E179" s="4">
        <f>IFERROR(VALUE(LEFT(D180,FIND(" - ",D180)-1)), "")</f>
        <v/>
      </c>
      <c r="F179" s="5">
        <f>IFERROR(VLOOKUP(E180,Product_Master!A:D,4,FALSE)&amp;"", "")</f>
        <v/>
      </c>
      <c r="G179" s="6" t="n"/>
      <c r="H179" s="6" t="n"/>
      <c r="I179" s="6" t="n"/>
      <c r="J179" s="7">
        <f>IF(OR(G180="",G180=0), "", IFERROR(I180/G180, ""))</f>
        <v/>
      </c>
      <c r="K179" s="6" t="n"/>
      <c r="L179" s="3" t="n"/>
    </row>
    <row r="180" ht="20.1" customHeight="1">
      <c r="A180" s="1" t="n"/>
      <c r="B180" s="2" t="n"/>
      <c r="C180" s="2" t="n"/>
      <c r="D180" s="3" t="n"/>
      <c r="E180" s="4">
        <f>IFERROR(VALUE(LEFT(D181,FIND(" - ",D181)-1)), "")</f>
        <v/>
      </c>
      <c r="F180" s="5">
        <f>IFERROR(VLOOKUP(E181,Product_Master!A:D,4,FALSE)&amp;"", "")</f>
        <v/>
      </c>
      <c r="G180" s="6" t="n"/>
      <c r="H180" s="6" t="n"/>
      <c r="I180" s="6" t="n"/>
      <c r="J180" s="7">
        <f>IF(OR(G181="",G181=0), "", IFERROR(I181/G181, ""))</f>
        <v/>
      </c>
      <c r="K180" s="6" t="n"/>
      <c r="L180" s="3" t="n"/>
    </row>
    <row r="181" ht="20.1" customHeight="1">
      <c r="A181" s="1" t="n"/>
      <c r="B181" s="2" t="n"/>
      <c r="C181" s="2" t="n"/>
      <c r="D181" s="3" t="n"/>
      <c r="E181" s="4">
        <f>IFERROR(VALUE(LEFT(D182,FIND(" - ",D182)-1)), "")</f>
        <v/>
      </c>
      <c r="F181" s="5">
        <f>IFERROR(VLOOKUP(E182,Product_Master!A:D,4,FALSE)&amp;"", "")</f>
        <v/>
      </c>
      <c r="G181" s="6" t="n"/>
      <c r="H181" s="6" t="n"/>
      <c r="I181" s="6" t="n"/>
      <c r="J181" s="7">
        <f>IF(OR(G182="",G182=0), "", IFERROR(I182/G182, ""))</f>
        <v/>
      </c>
      <c r="K181" s="6" t="n"/>
      <c r="L181" s="3" t="n"/>
    </row>
    <row r="182" ht="20.1" customHeight="1">
      <c r="A182" s="1" t="n"/>
      <c r="B182" s="2" t="n"/>
      <c r="C182" s="2" t="n"/>
      <c r="D182" s="3" t="n"/>
      <c r="E182" s="4">
        <f>IFERROR(VALUE(LEFT(D183,FIND(" - ",D183)-1)), "")</f>
        <v/>
      </c>
      <c r="F182" s="5">
        <f>IFERROR(VLOOKUP(E183,Product_Master!A:D,4,FALSE)&amp;"", "")</f>
        <v/>
      </c>
      <c r="G182" s="6" t="n"/>
      <c r="H182" s="6" t="n"/>
      <c r="I182" s="6" t="n"/>
      <c r="J182" s="7">
        <f>IF(OR(G183="",G183=0), "", IFERROR(I183/G183, ""))</f>
        <v/>
      </c>
      <c r="K182" s="6" t="n"/>
      <c r="L182" s="3" t="n"/>
    </row>
    <row r="183" ht="20.1" customHeight="1">
      <c r="A183" s="1" t="n"/>
      <c r="B183" s="2" t="n"/>
      <c r="C183" s="2" t="n"/>
      <c r="D183" s="3" t="n"/>
      <c r="E183" s="4">
        <f>IFERROR(VALUE(LEFT(D184,FIND(" - ",D184)-1)), "")</f>
        <v/>
      </c>
      <c r="F183" s="5">
        <f>IFERROR(VLOOKUP(E184,Product_Master!A:D,4,FALSE)&amp;"", "")</f>
        <v/>
      </c>
      <c r="G183" s="6" t="n"/>
      <c r="H183" s="6" t="n"/>
      <c r="I183" s="6" t="n"/>
      <c r="J183" s="7">
        <f>IF(OR(G184="",G184=0), "", IFERROR(I184/G184, ""))</f>
        <v/>
      </c>
      <c r="K183" s="6" t="n"/>
      <c r="L183" s="3" t="n"/>
    </row>
    <row r="184" ht="20.1" customHeight="1">
      <c r="A184" s="1" t="n"/>
      <c r="B184" s="2" t="n"/>
      <c r="C184" s="2" t="n"/>
      <c r="D184" s="3" t="n"/>
      <c r="E184" s="4">
        <f>IFERROR(VALUE(LEFT(D185,FIND(" - ",D185)-1)), "")</f>
        <v/>
      </c>
      <c r="F184" s="5">
        <f>IFERROR(VLOOKUP(E185,Product_Master!A:D,4,FALSE)&amp;"", "")</f>
        <v/>
      </c>
      <c r="G184" s="6" t="n"/>
      <c r="H184" s="6" t="n"/>
      <c r="I184" s="6" t="n"/>
      <c r="J184" s="7">
        <f>IF(OR(G185="",G185=0), "", IFERROR(I185/G185, ""))</f>
        <v/>
      </c>
      <c r="K184" s="6" t="n"/>
      <c r="L184" s="3" t="n"/>
    </row>
    <row r="185" ht="20.1" customHeight="1">
      <c r="A185" s="1" t="n"/>
      <c r="B185" s="2" t="n"/>
      <c r="C185" s="2" t="n"/>
      <c r="D185" s="3" t="n"/>
      <c r="E185" s="4">
        <f>IFERROR(VALUE(LEFT(D186,FIND(" - ",D186)-1)), "")</f>
        <v/>
      </c>
      <c r="F185" s="5">
        <f>IFERROR(VLOOKUP(E186,Product_Master!A:D,4,FALSE)&amp;"", "")</f>
        <v/>
      </c>
      <c r="G185" s="6" t="n"/>
      <c r="H185" s="6" t="n"/>
      <c r="I185" s="6" t="n"/>
      <c r="J185" s="7">
        <f>IF(OR(G186="",G186=0), "", IFERROR(I186/G186, ""))</f>
        <v/>
      </c>
      <c r="K185" s="6" t="n"/>
      <c r="L185" s="3" t="n"/>
    </row>
    <row r="186" ht="20.1" customHeight="1">
      <c r="A186" s="1" t="n"/>
      <c r="B186" s="2" t="n"/>
      <c r="C186" s="2" t="n"/>
      <c r="D186" s="3" t="n"/>
      <c r="E186" s="4">
        <f>IFERROR(VALUE(LEFT(D187,FIND(" - ",D187)-1)), "")</f>
        <v/>
      </c>
      <c r="F186" s="5">
        <f>IFERROR(VLOOKUP(E187,Product_Master!A:D,4,FALSE)&amp;"", "")</f>
        <v/>
      </c>
      <c r="G186" s="6" t="n"/>
      <c r="H186" s="6" t="n"/>
      <c r="I186" s="6" t="n"/>
      <c r="J186" s="7">
        <f>IF(OR(G187="",G187=0), "", IFERROR(I187/G187, ""))</f>
        <v/>
      </c>
      <c r="K186" s="6" t="n"/>
      <c r="L186" s="3" t="n"/>
    </row>
    <row r="187" ht="20.1" customHeight="1">
      <c r="A187" s="1" t="n"/>
      <c r="B187" s="2" t="n"/>
      <c r="C187" s="2" t="n"/>
      <c r="D187" s="3" t="n"/>
      <c r="E187" s="4">
        <f>IFERROR(VALUE(LEFT(D188,FIND(" - ",D188)-1)), "")</f>
        <v/>
      </c>
      <c r="F187" s="5">
        <f>IFERROR(VLOOKUP(E188,Product_Master!A:D,4,FALSE)&amp;"", "")</f>
        <v/>
      </c>
      <c r="G187" s="6" t="n"/>
      <c r="H187" s="6" t="n"/>
      <c r="I187" s="6" t="n"/>
      <c r="J187" s="7">
        <f>IF(OR(G188="",G188=0), "", IFERROR(I188/G188, ""))</f>
        <v/>
      </c>
      <c r="K187" s="6" t="n"/>
      <c r="L187" s="3" t="n"/>
    </row>
    <row r="188" ht="20.1" customHeight="1">
      <c r="A188" s="1" t="n"/>
      <c r="B188" s="2" t="n"/>
      <c r="C188" s="2" t="n"/>
      <c r="D188" s="3" t="n"/>
      <c r="E188" s="4">
        <f>IFERROR(VALUE(LEFT(D189,FIND(" - ",D189)-1)), "")</f>
        <v/>
      </c>
      <c r="F188" s="5">
        <f>IFERROR(VLOOKUP(E189,Product_Master!A:D,4,FALSE)&amp;"", "")</f>
        <v/>
      </c>
      <c r="G188" s="6" t="n"/>
      <c r="H188" s="6" t="n"/>
      <c r="I188" s="6" t="n"/>
      <c r="J188" s="7">
        <f>IF(OR(G189="",G189=0), "", IFERROR(I189/G189, ""))</f>
        <v/>
      </c>
      <c r="K188" s="6" t="n"/>
      <c r="L188" s="3" t="n"/>
    </row>
    <row r="189" ht="20.1" customHeight="1">
      <c r="A189" s="1" t="n"/>
      <c r="B189" s="2" t="n"/>
      <c r="C189" s="2" t="n"/>
      <c r="D189" s="3" t="n"/>
      <c r="E189" s="4">
        <f>IFERROR(VALUE(LEFT(D190,FIND(" - ",D190)-1)), "")</f>
        <v/>
      </c>
      <c r="F189" s="5">
        <f>IFERROR(VLOOKUP(E190,Product_Master!A:D,4,FALSE)&amp;"", "")</f>
        <v/>
      </c>
      <c r="G189" s="6" t="n"/>
      <c r="H189" s="6" t="n"/>
      <c r="I189" s="6" t="n"/>
      <c r="J189" s="7">
        <f>IF(OR(G190="",G190=0), "", IFERROR(I190/G190, ""))</f>
        <v/>
      </c>
      <c r="K189" s="6" t="n"/>
      <c r="L189" s="3" t="n"/>
    </row>
    <row r="190" ht="20.1" customHeight="1">
      <c r="A190" s="1" t="n"/>
      <c r="B190" s="2" t="n"/>
      <c r="C190" s="2" t="n"/>
      <c r="D190" s="3" t="n"/>
      <c r="E190" s="4">
        <f>IFERROR(VALUE(LEFT(D191,FIND(" - ",D191)-1)), "")</f>
        <v/>
      </c>
      <c r="F190" s="5">
        <f>IFERROR(VLOOKUP(E191,Product_Master!A:D,4,FALSE)&amp;"", "")</f>
        <v/>
      </c>
      <c r="G190" s="6" t="n"/>
      <c r="H190" s="6" t="n"/>
      <c r="I190" s="6" t="n"/>
      <c r="J190" s="7">
        <f>IF(OR(G191="",G191=0), "", IFERROR(I191/G191, ""))</f>
        <v/>
      </c>
      <c r="K190" s="6" t="n"/>
      <c r="L190" s="3" t="n"/>
    </row>
    <row r="191" ht="20.1" customHeight="1">
      <c r="A191" s="1" t="n"/>
      <c r="B191" s="2" t="n"/>
      <c r="C191" s="2" t="n"/>
      <c r="D191" s="3" t="n"/>
      <c r="E191" s="4">
        <f>IFERROR(VALUE(LEFT(D192,FIND(" - ",D192)-1)), "")</f>
        <v/>
      </c>
      <c r="F191" s="5">
        <f>IFERROR(VLOOKUP(E192,Product_Master!A:D,4,FALSE)&amp;"", "")</f>
        <v/>
      </c>
      <c r="G191" s="6" t="n"/>
      <c r="H191" s="6" t="n"/>
      <c r="I191" s="6" t="n"/>
      <c r="J191" s="7">
        <f>IF(OR(G192="",G192=0), "", IFERROR(I192/G192, ""))</f>
        <v/>
      </c>
      <c r="K191" s="6" t="n"/>
      <c r="L191" s="3" t="n"/>
    </row>
    <row r="192" ht="20.1" customHeight="1">
      <c r="A192" s="1" t="n"/>
      <c r="B192" s="2" t="n"/>
      <c r="C192" s="2" t="n"/>
      <c r="D192" s="3" t="n"/>
      <c r="E192" s="4">
        <f>IFERROR(VALUE(LEFT(D193,FIND(" - ",D193)-1)), "")</f>
        <v/>
      </c>
      <c r="F192" s="5">
        <f>IFERROR(VLOOKUP(E193,Product_Master!A:D,4,FALSE)&amp;"", "")</f>
        <v/>
      </c>
      <c r="G192" s="6" t="n"/>
      <c r="H192" s="6" t="n"/>
      <c r="I192" s="6" t="n"/>
      <c r="J192" s="7">
        <f>IF(OR(G193="",G193=0), "", IFERROR(I193/G193, ""))</f>
        <v/>
      </c>
      <c r="K192" s="6" t="n"/>
      <c r="L192" s="3" t="n"/>
    </row>
    <row r="193" ht="20.1" customHeight="1">
      <c r="A193" s="1" t="n"/>
      <c r="B193" s="2" t="n"/>
      <c r="C193" s="2" t="n"/>
      <c r="D193" s="3" t="n"/>
      <c r="E193" s="4">
        <f>IFERROR(VALUE(LEFT(D194,FIND(" - ",D194)-1)), "")</f>
        <v/>
      </c>
      <c r="F193" s="5">
        <f>IFERROR(VLOOKUP(E194,Product_Master!A:D,4,FALSE)&amp;"", "")</f>
        <v/>
      </c>
      <c r="G193" s="6" t="n"/>
      <c r="H193" s="6" t="n"/>
      <c r="I193" s="6" t="n"/>
      <c r="J193" s="7">
        <f>IF(OR(G194="",G194=0), "", IFERROR(I194/G194, ""))</f>
        <v/>
      </c>
      <c r="K193" s="6" t="n"/>
      <c r="L193" s="3" t="n"/>
    </row>
    <row r="194" ht="20.1" customHeight="1">
      <c r="A194" s="1" t="n"/>
      <c r="B194" s="2" t="n"/>
      <c r="C194" s="2" t="n"/>
      <c r="D194" s="3" t="n"/>
      <c r="E194" s="4">
        <f>IFERROR(VALUE(LEFT(D195,FIND(" - ",D195)-1)), "")</f>
        <v/>
      </c>
      <c r="F194" s="5">
        <f>IFERROR(VLOOKUP(E195,Product_Master!A:D,4,FALSE)&amp;"", "")</f>
        <v/>
      </c>
      <c r="G194" s="6" t="n"/>
      <c r="H194" s="6" t="n"/>
      <c r="I194" s="6" t="n"/>
      <c r="J194" s="7">
        <f>IF(OR(G195="",G195=0), "", IFERROR(I195/G195, ""))</f>
        <v/>
      </c>
      <c r="K194" s="6" t="n"/>
      <c r="L194" s="3" t="n"/>
    </row>
    <row r="195" ht="20.1" customHeight="1">
      <c r="A195" s="1" t="n"/>
      <c r="B195" s="2" t="n"/>
      <c r="C195" s="2" t="n"/>
      <c r="D195" s="3" t="n"/>
      <c r="E195" s="4">
        <f>IFERROR(VALUE(LEFT(D196,FIND(" - ",D196)-1)), "")</f>
        <v/>
      </c>
      <c r="F195" s="5">
        <f>IFERROR(VLOOKUP(E196,Product_Master!A:D,4,FALSE)&amp;"", "")</f>
        <v/>
      </c>
      <c r="G195" s="6" t="n"/>
      <c r="H195" s="6" t="n"/>
      <c r="I195" s="6" t="n"/>
      <c r="J195" s="7">
        <f>IF(OR(G196="",G196=0), "", IFERROR(I196/G196, ""))</f>
        <v/>
      </c>
      <c r="K195" s="6" t="n"/>
      <c r="L195" s="3" t="n"/>
    </row>
    <row r="196" ht="20.1" customHeight="1">
      <c r="A196" s="1" t="n"/>
      <c r="B196" s="2" t="n"/>
      <c r="C196" s="2" t="n"/>
      <c r="D196" s="3" t="n"/>
      <c r="E196" s="4">
        <f>IFERROR(VALUE(LEFT(D197,FIND(" - ",D197)-1)), "")</f>
        <v/>
      </c>
      <c r="F196" s="5">
        <f>IFERROR(VLOOKUP(E197,Product_Master!A:D,4,FALSE)&amp;"", "")</f>
        <v/>
      </c>
      <c r="G196" s="6" t="n"/>
      <c r="H196" s="6" t="n"/>
      <c r="I196" s="6" t="n"/>
      <c r="J196" s="7">
        <f>IF(OR(G197="",G197=0), "", IFERROR(I197/G197, ""))</f>
        <v/>
      </c>
      <c r="K196" s="6" t="n"/>
      <c r="L196" s="3" t="n"/>
    </row>
    <row r="197" ht="20.1" customHeight="1">
      <c r="A197" s="1" t="n"/>
      <c r="B197" s="2" t="n"/>
      <c r="C197" s="2" t="n"/>
      <c r="D197" s="3" t="n"/>
      <c r="E197" s="4">
        <f>IFERROR(VALUE(LEFT(D198,FIND(" - ",D198)-1)), "")</f>
        <v/>
      </c>
      <c r="F197" s="5">
        <f>IFERROR(VLOOKUP(E198,Product_Master!A:D,4,FALSE)&amp;"", "")</f>
        <v/>
      </c>
      <c r="G197" s="6" t="n"/>
      <c r="H197" s="6" t="n"/>
      <c r="I197" s="6" t="n"/>
      <c r="J197" s="7">
        <f>IF(OR(G198="",G198=0), "", IFERROR(I198/G198, ""))</f>
        <v/>
      </c>
      <c r="K197" s="6" t="n"/>
      <c r="L197" s="3" t="n"/>
    </row>
    <row r="198" ht="20.1" customHeight="1">
      <c r="A198" s="1" t="n"/>
      <c r="B198" s="2" t="n"/>
      <c r="C198" s="2" t="n"/>
      <c r="D198" s="3" t="n"/>
      <c r="E198" s="4">
        <f>IFERROR(VALUE(LEFT(D199,FIND(" - ",D199)-1)), "")</f>
        <v/>
      </c>
      <c r="F198" s="5">
        <f>IFERROR(VLOOKUP(E199,Product_Master!A:D,4,FALSE)&amp;"", "")</f>
        <v/>
      </c>
      <c r="G198" s="6" t="n"/>
      <c r="H198" s="6" t="n"/>
      <c r="I198" s="6" t="n"/>
      <c r="J198" s="7">
        <f>IF(OR(G199="",G199=0), "", IFERROR(I199/G199, ""))</f>
        <v/>
      </c>
      <c r="K198" s="6" t="n"/>
      <c r="L198" s="3" t="n"/>
    </row>
    <row r="199" ht="20.1" customHeight="1">
      <c r="A199" s="1" t="n"/>
      <c r="B199" s="2" t="n"/>
      <c r="C199" s="2" t="n"/>
      <c r="D199" s="3" t="n"/>
      <c r="E199" s="4">
        <f>IFERROR(VALUE(LEFT(D200,FIND(" - ",D200)-1)), "")</f>
        <v/>
      </c>
      <c r="F199" s="5">
        <f>IFERROR(VLOOKUP(E200,Product_Master!A:D,4,FALSE)&amp;"", "")</f>
        <v/>
      </c>
      <c r="G199" s="6" t="n"/>
      <c r="H199" s="6" t="n"/>
      <c r="I199" s="6" t="n"/>
      <c r="J199" s="7">
        <f>IF(OR(G200="",G200=0), "", IFERROR(I200/G200, ""))</f>
        <v/>
      </c>
      <c r="K199" s="6" t="n"/>
      <c r="L199" s="3" t="n"/>
    </row>
    <row r="200" ht="20.1" customHeight="1">
      <c r="A200" s="1" t="n"/>
      <c r="B200" s="2" t="n"/>
      <c r="C200" s="2" t="n"/>
      <c r="D200" s="3" t="n"/>
      <c r="E200" s="4">
        <f>IFERROR(VALUE(LEFT(D201,FIND(" - ",D201)-1)), "")</f>
        <v/>
      </c>
      <c r="F200" s="5">
        <f>IFERROR(VLOOKUP(E201,Product_Master!A:D,4,FALSE)&amp;"", "")</f>
        <v/>
      </c>
      <c r="G200" s="6" t="n"/>
      <c r="H200" s="6" t="n"/>
      <c r="I200" s="6" t="n"/>
      <c r="J200" s="7">
        <f>IF(OR(G201="",G201=0), "", IFERROR(I201/G201, ""))</f>
        <v/>
      </c>
      <c r="K200" s="6" t="n"/>
      <c r="L200" s="3" t="n"/>
    </row>
    <row r="201" ht="20.1" customHeight="1">
      <c r="A201" s="1" t="n"/>
      <c r="B201" s="2" t="n"/>
      <c r="C201" s="2" t="n"/>
      <c r="D201" s="3" t="n"/>
      <c r="E201" s="4">
        <f>IFERROR(VALUE(LEFT(D202,FIND(" - ",D202)-1)), "")</f>
        <v/>
      </c>
      <c r="F201" s="5">
        <f>IFERROR(VLOOKUP(E202,Product_Master!A:D,4,FALSE)&amp;"", "")</f>
        <v/>
      </c>
      <c r="G201" s="6" t="n"/>
      <c r="H201" s="6" t="n"/>
      <c r="I201" s="6" t="n"/>
      <c r="J201" s="7">
        <f>IF(OR(G202="",G202=0), "", IFERROR(I202/G202, ""))</f>
        <v/>
      </c>
      <c r="K201" s="6" t="n"/>
      <c r="L201" s="3" t="n"/>
    </row>
    <row r="202" ht="20.1" customHeight="1">
      <c r="A202" s="1" t="n"/>
      <c r="B202" s="2" t="n"/>
      <c r="C202" s="2" t="n"/>
      <c r="D202" s="3" t="n"/>
      <c r="E202" s="4">
        <f>IFERROR(VALUE(LEFT(D203,FIND(" - ",D203)-1)), "")</f>
        <v/>
      </c>
      <c r="F202" s="5">
        <f>IFERROR(VLOOKUP(E203,Product_Master!A:D,4,FALSE)&amp;"", "")</f>
        <v/>
      </c>
      <c r="G202" s="6" t="n"/>
      <c r="H202" s="6" t="n"/>
      <c r="I202" s="6" t="n"/>
      <c r="J202" s="7">
        <f>IF(OR(G203="",G203=0), "", IFERROR(I203/G203, ""))</f>
        <v/>
      </c>
      <c r="K202" s="6" t="n"/>
      <c r="L202" s="3" t="n"/>
    </row>
    <row r="203" ht="20.1" customHeight="1">
      <c r="A203" s="1" t="n"/>
      <c r="B203" s="2" t="n"/>
      <c r="C203" s="2" t="n"/>
      <c r="D203" s="3" t="n"/>
      <c r="E203" s="4">
        <f>IFERROR(VALUE(LEFT(D204,FIND(" - ",D204)-1)), "")</f>
        <v/>
      </c>
      <c r="F203" s="5">
        <f>IFERROR(VLOOKUP(E204,Product_Master!A:D,4,FALSE)&amp;"", "")</f>
        <v/>
      </c>
      <c r="G203" s="6" t="n"/>
      <c r="H203" s="6" t="n"/>
      <c r="I203" s="6" t="n"/>
      <c r="J203" s="7">
        <f>IF(OR(G204="",G204=0), "", IFERROR(I204/G204, ""))</f>
        <v/>
      </c>
      <c r="K203" s="6" t="n"/>
      <c r="L203" s="3" t="n"/>
    </row>
    <row r="204" ht="20.1" customHeight="1">
      <c r="A204" s="1" t="n"/>
      <c r="B204" s="2" t="n"/>
      <c r="C204" s="2" t="n"/>
      <c r="D204" s="3" t="n"/>
      <c r="E204" s="4">
        <f>IFERROR(VALUE(LEFT(D205,FIND(" - ",D205)-1)), "")</f>
        <v/>
      </c>
      <c r="F204" s="5">
        <f>IFERROR(VLOOKUP(E205,Product_Master!A:D,4,FALSE)&amp;"", "")</f>
        <v/>
      </c>
      <c r="G204" s="6" t="n"/>
      <c r="H204" s="6" t="n"/>
      <c r="I204" s="6" t="n"/>
      <c r="J204" s="7">
        <f>IF(OR(G205="",G205=0), "", IFERROR(I205/G205, ""))</f>
        <v/>
      </c>
      <c r="K204" s="6" t="n"/>
      <c r="L204" s="3" t="n"/>
    </row>
    <row r="205" ht="20.1" customHeight="1">
      <c r="A205" s="1" t="n"/>
      <c r="B205" s="2" t="n"/>
      <c r="C205" s="2" t="n"/>
      <c r="D205" s="3" t="n"/>
      <c r="E205" s="4">
        <f>IFERROR(VALUE(LEFT(D206,FIND(" - ",D206)-1)), "")</f>
        <v/>
      </c>
      <c r="F205" s="5">
        <f>IFERROR(VLOOKUP(E206,Product_Master!A:D,4,FALSE)&amp;"", "")</f>
        <v/>
      </c>
      <c r="G205" s="6" t="n"/>
      <c r="H205" s="6" t="n"/>
      <c r="I205" s="6" t="n"/>
      <c r="J205" s="7">
        <f>IF(OR(G206="",G206=0), "", IFERROR(I206/G206, ""))</f>
        <v/>
      </c>
      <c r="K205" s="6" t="n"/>
      <c r="L205" s="3" t="n"/>
    </row>
    <row r="206" ht="20.1" customHeight="1">
      <c r="A206" s="1" t="n"/>
      <c r="B206" s="2" t="n"/>
      <c r="C206" s="2" t="n"/>
      <c r="D206" s="3" t="n"/>
      <c r="E206" s="4">
        <f>IFERROR(VALUE(LEFT(D207,FIND(" - ",D207)-1)), "")</f>
        <v/>
      </c>
      <c r="F206" s="5">
        <f>IFERROR(VLOOKUP(E207,Product_Master!A:D,4,FALSE)&amp;"", "")</f>
        <v/>
      </c>
      <c r="G206" s="6" t="n"/>
      <c r="H206" s="6" t="n"/>
      <c r="I206" s="6" t="n"/>
      <c r="J206" s="7">
        <f>IF(OR(G207="",G207=0), "", IFERROR(I207/G207, ""))</f>
        <v/>
      </c>
      <c r="K206" s="6" t="n"/>
      <c r="L206" s="3" t="n"/>
    </row>
    <row r="207" ht="20.1" customHeight="1">
      <c r="A207" s="1" t="n"/>
      <c r="B207" s="2" t="n"/>
      <c r="C207" s="2" t="n"/>
      <c r="D207" s="3" t="n"/>
      <c r="E207" s="4">
        <f>IFERROR(VALUE(LEFT(D208,FIND(" - ",D208)-1)), "")</f>
        <v/>
      </c>
      <c r="F207" s="5">
        <f>IFERROR(VLOOKUP(E208,Product_Master!A:D,4,FALSE)&amp;"", "")</f>
        <v/>
      </c>
      <c r="G207" s="6" t="n"/>
      <c r="H207" s="6" t="n"/>
      <c r="I207" s="6" t="n"/>
      <c r="J207" s="7">
        <f>IF(OR(G208="",G208=0), "", IFERROR(I208/G208, ""))</f>
        <v/>
      </c>
      <c r="K207" s="6" t="n"/>
      <c r="L207" s="3" t="n"/>
    </row>
    <row r="208" ht="20.1" customHeight="1">
      <c r="A208" s="1" t="n"/>
      <c r="B208" s="2" t="n"/>
      <c r="C208" s="2" t="n"/>
      <c r="D208" s="3" t="n"/>
      <c r="E208" s="4">
        <f>IFERROR(VALUE(LEFT(D209,FIND(" - ",D209)-1)), "")</f>
        <v/>
      </c>
      <c r="F208" s="5">
        <f>IFERROR(VLOOKUP(E209,Product_Master!A:D,4,FALSE)&amp;"", "")</f>
        <v/>
      </c>
      <c r="G208" s="6" t="n"/>
      <c r="H208" s="6" t="n"/>
      <c r="I208" s="6" t="n"/>
      <c r="J208" s="7">
        <f>IF(OR(G209="",G209=0), "", IFERROR(I209/G209, ""))</f>
        <v/>
      </c>
      <c r="K208" s="6" t="n"/>
      <c r="L208" s="3" t="n"/>
    </row>
    <row r="209" ht="20.1" customHeight="1">
      <c r="A209" s="1" t="n"/>
      <c r="B209" s="2" t="n"/>
      <c r="C209" s="2" t="n"/>
      <c r="D209" s="3" t="n"/>
      <c r="E209" s="4">
        <f>IFERROR(VALUE(LEFT(D210,FIND(" - ",D210)-1)), "")</f>
        <v/>
      </c>
      <c r="F209" s="5">
        <f>IFERROR(VLOOKUP(E210,Product_Master!A:D,4,FALSE)&amp;"", "")</f>
        <v/>
      </c>
      <c r="G209" s="6" t="n"/>
      <c r="H209" s="6" t="n"/>
      <c r="I209" s="6" t="n"/>
      <c r="J209" s="7">
        <f>IF(OR(G210="",G210=0), "", IFERROR(I210/G210, ""))</f>
        <v/>
      </c>
      <c r="K209" s="6" t="n"/>
      <c r="L209" s="3" t="n"/>
    </row>
    <row r="210" ht="20.1" customHeight="1">
      <c r="A210" s="1" t="n"/>
      <c r="B210" s="2" t="n"/>
      <c r="C210" s="2" t="n"/>
      <c r="D210" s="3" t="n"/>
      <c r="E210" s="4">
        <f>IFERROR(VALUE(LEFT(D211,FIND(" - ",D211)-1)), "")</f>
        <v/>
      </c>
      <c r="F210" s="5">
        <f>IFERROR(VLOOKUP(E211,Product_Master!A:D,4,FALSE)&amp;"", "")</f>
        <v/>
      </c>
      <c r="G210" s="6" t="n"/>
      <c r="H210" s="6" t="n"/>
      <c r="I210" s="6" t="n"/>
      <c r="J210" s="7">
        <f>IF(OR(G211="",G211=0), "", IFERROR(I211/G211, ""))</f>
        <v/>
      </c>
      <c r="K210" s="6" t="n"/>
      <c r="L210" s="3" t="n"/>
    </row>
    <row r="211" ht="20.1" customHeight="1">
      <c r="A211" s="1" t="n"/>
      <c r="B211" s="2" t="n"/>
      <c r="C211" s="2" t="n"/>
      <c r="D211" s="3" t="n"/>
      <c r="E211" s="4">
        <f>IFERROR(VALUE(LEFT(D212,FIND(" - ",D212)-1)), "")</f>
        <v/>
      </c>
      <c r="F211" s="5">
        <f>IFERROR(VLOOKUP(E212,Product_Master!A:D,4,FALSE)&amp;"", "")</f>
        <v/>
      </c>
      <c r="G211" s="6" t="n"/>
      <c r="H211" s="6" t="n"/>
      <c r="I211" s="6" t="n"/>
      <c r="J211" s="7">
        <f>IF(OR(G212="",G212=0), "", IFERROR(I212/G212, ""))</f>
        <v/>
      </c>
      <c r="K211" s="6" t="n"/>
      <c r="L211" s="3" t="n"/>
    </row>
    <row r="212" ht="20.1" customHeight="1">
      <c r="A212" s="1" t="n"/>
      <c r="B212" s="2" t="n"/>
      <c r="C212" s="2" t="n"/>
      <c r="D212" s="3" t="n"/>
      <c r="E212" s="4">
        <f>IFERROR(VALUE(LEFT(D213,FIND(" - ",D213)-1)), "")</f>
        <v/>
      </c>
      <c r="F212" s="5">
        <f>IFERROR(VLOOKUP(E213,Product_Master!A:D,4,FALSE)&amp;"", "")</f>
        <v/>
      </c>
      <c r="G212" s="6" t="n"/>
      <c r="H212" s="6" t="n"/>
      <c r="I212" s="6" t="n"/>
      <c r="J212" s="7">
        <f>IF(OR(G213="",G213=0), "", IFERROR(I213/G213, ""))</f>
        <v/>
      </c>
      <c r="K212" s="6" t="n"/>
      <c r="L212" s="3" t="n"/>
    </row>
    <row r="213" ht="20.1" customHeight="1">
      <c r="A213" s="1" t="n"/>
      <c r="B213" s="2" t="n"/>
      <c r="C213" s="2" t="n"/>
      <c r="D213" s="3" t="n"/>
      <c r="E213" s="4">
        <f>IFERROR(VALUE(LEFT(D214,FIND(" - ",D214)-1)), "")</f>
        <v/>
      </c>
      <c r="F213" s="5">
        <f>IFERROR(VLOOKUP(E214,Product_Master!A:D,4,FALSE)&amp;"", "")</f>
        <v/>
      </c>
      <c r="G213" s="6" t="n"/>
      <c r="H213" s="6" t="n"/>
      <c r="I213" s="6" t="n"/>
      <c r="J213" s="7">
        <f>IF(OR(G214="",G214=0), "", IFERROR(I214/G214, ""))</f>
        <v/>
      </c>
      <c r="K213" s="6" t="n"/>
      <c r="L213" s="3" t="n"/>
    </row>
    <row r="214" ht="20.1" customHeight="1">
      <c r="A214" s="1" t="n"/>
      <c r="B214" s="2" t="n"/>
      <c r="C214" s="2" t="n"/>
      <c r="D214" s="3" t="n"/>
      <c r="E214" s="4">
        <f>IFERROR(VALUE(LEFT(D215,FIND(" - ",D215)-1)), "")</f>
        <v/>
      </c>
      <c r="F214" s="5">
        <f>IFERROR(VLOOKUP(E215,Product_Master!A:D,4,FALSE)&amp;"", "")</f>
        <v/>
      </c>
      <c r="G214" s="6" t="n"/>
      <c r="H214" s="6" t="n"/>
      <c r="I214" s="6" t="n"/>
      <c r="J214" s="7">
        <f>IF(OR(G215="",G215=0), "", IFERROR(I215/G215, ""))</f>
        <v/>
      </c>
      <c r="K214" s="6" t="n"/>
      <c r="L214" s="3" t="n"/>
    </row>
    <row r="215" ht="20.1" customHeight="1">
      <c r="A215" s="1" t="n"/>
      <c r="B215" s="2" t="n"/>
      <c r="C215" s="2" t="n"/>
      <c r="D215" s="3" t="n"/>
      <c r="E215" s="4">
        <f>IFERROR(VALUE(LEFT(D216,FIND(" - ",D216)-1)), "")</f>
        <v/>
      </c>
      <c r="F215" s="5">
        <f>IFERROR(VLOOKUP(E216,Product_Master!A:D,4,FALSE)&amp;"", "")</f>
        <v/>
      </c>
      <c r="G215" s="6" t="n"/>
      <c r="H215" s="6" t="n"/>
      <c r="I215" s="6" t="n"/>
      <c r="J215" s="7">
        <f>IF(OR(G216="",G216=0), "", IFERROR(I216/G216, ""))</f>
        <v/>
      </c>
      <c r="K215" s="6" t="n"/>
      <c r="L215" s="3" t="n"/>
    </row>
    <row r="216" ht="20.1" customHeight="1">
      <c r="A216" s="1" t="n"/>
      <c r="B216" s="2" t="n"/>
      <c r="C216" s="2" t="n"/>
      <c r="D216" s="3" t="n"/>
      <c r="E216" s="4">
        <f>IFERROR(VALUE(LEFT(D217,FIND(" - ",D217)-1)), "")</f>
        <v/>
      </c>
      <c r="F216" s="5">
        <f>IFERROR(VLOOKUP(E217,Product_Master!A:D,4,FALSE)&amp;"", "")</f>
        <v/>
      </c>
      <c r="G216" s="6" t="n"/>
      <c r="H216" s="6" t="n"/>
      <c r="I216" s="6" t="n"/>
      <c r="J216" s="7">
        <f>IF(OR(G217="",G217=0), "", IFERROR(I217/G217, ""))</f>
        <v/>
      </c>
      <c r="K216" s="6" t="n"/>
      <c r="L216" s="3" t="n"/>
    </row>
    <row r="217" ht="20.1" customHeight="1">
      <c r="A217" s="1" t="n"/>
      <c r="B217" s="2" t="n"/>
      <c r="C217" s="2" t="n"/>
      <c r="D217" s="3" t="n"/>
      <c r="E217" s="4">
        <f>IFERROR(VALUE(LEFT(D218,FIND(" - ",D218)-1)), "")</f>
        <v/>
      </c>
      <c r="F217" s="5">
        <f>IFERROR(VLOOKUP(E218,Product_Master!A:D,4,FALSE)&amp;"", "")</f>
        <v/>
      </c>
      <c r="G217" s="6" t="n"/>
      <c r="H217" s="6" t="n"/>
      <c r="I217" s="6" t="n"/>
      <c r="J217" s="7">
        <f>IF(OR(G218="",G218=0), "", IFERROR(I218/G218, ""))</f>
        <v/>
      </c>
      <c r="K217" s="6" t="n"/>
      <c r="L217" s="3" t="n"/>
    </row>
    <row r="218" ht="20.1" customHeight="1">
      <c r="A218" s="1" t="n"/>
      <c r="B218" s="2" t="n"/>
      <c r="C218" s="2" t="n"/>
      <c r="D218" s="3" t="n"/>
      <c r="E218" s="4">
        <f>IFERROR(VALUE(LEFT(D219,FIND(" - ",D219)-1)), "")</f>
        <v/>
      </c>
      <c r="F218" s="5">
        <f>IFERROR(VLOOKUP(E219,Product_Master!A:D,4,FALSE)&amp;"", "")</f>
        <v/>
      </c>
      <c r="G218" s="6" t="n"/>
      <c r="H218" s="6" t="n"/>
      <c r="I218" s="6" t="n"/>
      <c r="J218" s="7">
        <f>IF(OR(G219="",G219=0), "", IFERROR(I219/G219, ""))</f>
        <v/>
      </c>
      <c r="K218" s="6" t="n"/>
      <c r="L218" s="3" t="n"/>
    </row>
    <row r="219" ht="20.1" customHeight="1">
      <c r="A219" s="1" t="n"/>
      <c r="B219" s="2" t="n"/>
      <c r="C219" s="2" t="n"/>
      <c r="D219" s="3" t="n"/>
      <c r="E219" s="4">
        <f>IFERROR(VALUE(LEFT(D220,FIND(" - ",D220)-1)), "")</f>
        <v/>
      </c>
      <c r="F219" s="5">
        <f>IFERROR(VLOOKUP(E220,Product_Master!A:D,4,FALSE)&amp;"", "")</f>
        <v/>
      </c>
      <c r="G219" s="6" t="n"/>
      <c r="H219" s="6" t="n"/>
      <c r="I219" s="6" t="n"/>
      <c r="J219" s="7">
        <f>IF(OR(G220="",G220=0), "", IFERROR(I220/G220, ""))</f>
        <v/>
      </c>
      <c r="K219" s="6" t="n"/>
      <c r="L219" s="3" t="n"/>
    </row>
    <row r="220" ht="20.1" customHeight="1">
      <c r="A220" s="1" t="n"/>
      <c r="B220" s="2" t="n"/>
      <c r="C220" s="2" t="n"/>
      <c r="D220" s="3" t="n"/>
      <c r="E220" s="4">
        <f>IFERROR(VALUE(LEFT(D221,FIND(" - ",D221)-1)), "")</f>
        <v/>
      </c>
      <c r="F220" s="5">
        <f>IFERROR(VLOOKUP(E221,Product_Master!A:D,4,FALSE)&amp;"", "")</f>
        <v/>
      </c>
      <c r="G220" s="6" t="n"/>
      <c r="H220" s="6" t="n"/>
      <c r="I220" s="6" t="n"/>
      <c r="J220" s="7">
        <f>IF(OR(G221="",G221=0), "", IFERROR(I221/G221, ""))</f>
        <v/>
      </c>
      <c r="K220" s="6" t="n"/>
      <c r="L220" s="3" t="n"/>
    </row>
    <row r="221" ht="20.1" customHeight="1">
      <c r="A221" s="1" t="n"/>
      <c r="B221" s="2" t="n"/>
      <c r="C221" s="2" t="n"/>
      <c r="D221" s="3" t="n"/>
      <c r="E221" s="4">
        <f>IFERROR(VALUE(LEFT(D222,FIND(" - ",D222)-1)), "")</f>
        <v/>
      </c>
      <c r="F221" s="5">
        <f>IFERROR(VLOOKUP(E222,Product_Master!A:D,4,FALSE)&amp;"", "")</f>
        <v/>
      </c>
      <c r="G221" s="6" t="n"/>
      <c r="H221" s="6" t="n"/>
      <c r="I221" s="6" t="n"/>
      <c r="J221" s="7">
        <f>IF(OR(G222="",G222=0), "", IFERROR(I222/G222, ""))</f>
        <v/>
      </c>
      <c r="K221" s="6" t="n"/>
      <c r="L221" s="3" t="n"/>
    </row>
    <row r="222" ht="20.1" customHeight="1">
      <c r="A222" s="1" t="n"/>
      <c r="B222" s="2" t="n"/>
      <c r="C222" s="2" t="n"/>
      <c r="D222" s="3" t="n"/>
      <c r="E222" s="4">
        <f>IFERROR(VALUE(LEFT(D223,FIND(" - ",D223)-1)), "")</f>
        <v/>
      </c>
      <c r="F222" s="5">
        <f>IFERROR(VLOOKUP(E223,Product_Master!A:D,4,FALSE)&amp;"", "")</f>
        <v/>
      </c>
      <c r="G222" s="6" t="n"/>
      <c r="H222" s="6" t="n"/>
      <c r="I222" s="6" t="n"/>
      <c r="J222" s="7">
        <f>IF(OR(G223="",G223=0), "", IFERROR(I223/G223, ""))</f>
        <v/>
      </c>
      <c r="K222" s="6" t="n"/>
      <c r="L222" s="3" t="n"/>
    </row>
    <row r="223" ht="20.1" customHeight="1">
      <c r="A223" s="1" t="n"/>
      <c r="B223" s="2" t="n"/>
      <c r="C223" s="2" t="n"/>
      <c r="D223" s="3" t="n"/>
      <c r="E223" s="4">
        <f>IFERROR(VALUE(LEFT(D224,FIND(" - ",D224)-1)), "")</f>
        <v/>
      </c>
      <c r="F223" s="5">
        <f>IFERROR(VLOOKUP(E224,Product_Master!A:D,4,FALSE)&amp;"", "")</f>
        <v/>
      </c>
      <c r="G223" s="6" t="n"/>
      <c r="H223" s="6" t="n"/>
      <c r="I223" s="6" t="n"/>
      <c r="J223" s="7">
        <f>IF(OR(G224="",G224=0), "", IFERROR(I224/G224, ""))</f>
        <v/>
      </c>
      <c r="K223" s="6" t="n"/>
      <c r="L223" s="3" t="n"/>
    </row>
    <row r="224" ht="20.1" customHeight="1">
      <c r="A224" s="1" t="n"/>
      <c r="B224" s="2" t="n"/>
      <c r="C224" s="2" t="n"/>
      <c r="D224" s="3" t="n"/>
      <c r="E224" s="4">
        <f>IFERROR(VALUE(LEFT(D225,FIND(" - ",D225)-1)), "")</f>
        <v/>
      </c>
      <c r="F224" s="5">
        <f>IFERROR(VLOOKUP(E225,Product_Master!A:D,4,FALSE)&amp;"", "")</f>
        <v/>
      </c>
      <c r="G224" s="6" t="n"/>
      <c r="H224" s="6" t="n"/>
      <c r="I224" s="6" t="n"/>
      <c r="J224" s="7">
        <f>IF(OR(G225="",G225=0), "", IFERROR(I225/G225, ""))</f>
        <v/>
      </c>
      <c r="K224" s="6" t="n"/>
      <c r="L224" s="3" t="n"/>
    </row>
    <row r="225" ht="20.1" customHeight="1">
      <c r="A225" s="1" t="n"/>
      <c r="B225" s="2" t="n"/>
      <c r="C225" s="2" t="n"/>
      <c r="D225" s="3" t="n"/>
      <c r="E225" s="4">
        <f>IFERROR(VALUE(LEFT(D226,FIND(" - ",D226)-1)), "")</f>
        <v/>
      </c>
      <c r="F225" s="5">
        <f>IFERROR(VLOOKUP(E226,Product_Master!A:D,4,FALSE)&amp;"", "")</f>
        <v/>
      </c>
      <c r="G225" s="6" t="n"/>
      <c r="H225" s="6" t="n"/>
      <c r="I225" s="6" t="n"/>
      <c r="J225" s="7">
        <f>IF(OR(G226="",G226=0), "", IFERROR(I226/G226, ""))</f>
        <v/>
      </c>
      <c r="K225" s="6" t="n"/>
      <c r="L225" s="3" t="n"/>
    </row>
    <row r="226" ht="20.1" customHeight="1">
      <c r="A226" s="1" t="n"/>
      <c r="B226" s="2" t="n"/>
      <c r="C226" s="2" t="n"/>
      <c r="D226" s="3" t="n"/>
      <c r="E226" s="4">
        <f>IFERROR(VALUE(LEFT(D227,FIND(" - ",D227)-1)), "")</f>
        <v/>
      </c>
      <c r="F226" s="5">
        <f>IFERROR(VLOOKUP(E227,Product_Master!A:D,4,FALSE)&amp;"", "")</f>
        <v/>
      </c>
      <c r="G226" s="6" t="n"/>
      <c r="H226" s="6" t="n"/>
      <c r="I226" s="6" t="n"/>
      <c r="J226" s="7">
        <f>IF(OR(G227="",G227=0), "", IFERROR(I227/G227, ""))</f>
        <v/>
      </c>
      <c r="K226" s="6" t="n"/>
      <c r="L226" s="3" t="n"/>
    </row>
    <row r="227" ht="20.1" customHeight="1">
      <c r="A227" s="1" t="n"/>
      <c r="B227" s="2" t="n"/>
      <c r="C227" s="2" t="n"/>
      <c r="D227" s="3" t="n"/>
      <c r="E227" s="4">
        <f>IFERROR(VALUE(LEFT(D228,FIND(" - ",D228)-1)), "")</f>
        <v/>
      </c>
      <c r="F227" s="5">
        <f>IFERROR(VLOOKUP(E228,Product_Master!A:D,4,FALSE)&amp;"", "")</f>
        <v/>
      </c>
      <c r="G227" s="6" t="n"/>
      <c r="H227" s="6" t="n"/>
      <c r="I227" s="6" t="n"/>
      <c r="J227" s="7">
        <f>IF(OR(G228="",G228=0), "", IFERROR(I228/G228, ""))</f>
        <v/>
      </c>
      <c r="K227" s="6" t="n"/>
      <c r="L227" s="3" t="n"/>
    </row>
    <row r="228" ht="20.1" customHeight="1">
      <c r="A228" s="1" t="n"/>
      <c r="B228" s="2" t="n"/>
      <c r="C228" s="2" t="n"/>
      <c r="D228" s="3" t="n"/>
      <c r="E228" s="4">
        <f>IFERROR(VALUE(LEFT(D229,FIND(" - ",D229)-1)), "")</f>
        <v/>
      </c>
      <c r="F228" s="5">
        <f>IFERROR(VLOOKUP(E229,Product_Master!A:D,4,FALSE)&amp;"", "")</f>
        <v/>
      </c>
      <c r="G228" s="6" t="n"/>
      <c r="H228" s="6" t="n"/>
      <c r="I228" s="6" t="n"/>
      <c r="J228" s="7">
        <f>IF(OR(G229="",G229=0), "", IFERROR(I229/G229, ""))</f>
        <v/>
      </c>
      <c r="K228" s="6" t="n"/>
      <c r="L228" s="3" t="n"/>
    </row>
    <row r="229" ht="20.1" customHeight="1">
      <c r="A229" s="1" t="n"/>
      <c r="B229" s="2" t="n"/>
      <c r="C229" s="2" t="n"/>
      <c r="D229" s="3" t="n"/>
      <c r="E229" s="4">
        <f>IFERROR(VALUE(LEFT(D230,FIND(" - ",D230)-1)), "")</f>
        <v/>
      </c>
      <c r="F229" s="5">
        <f>IFERROR(VLOOKUP(E230,Product_Master!A:D,4,FALSE)&amp;"", "")</f>
        <v/>
      </c>
      <c r="G229" s="6" t="n"/>
      <c r="H229" s="6" t="n"/>
      <c r="I229" s="6" t="n"/>
      <c r="J229" s="7">
        <f>IF(OR(G230="",G230=0), "", IFERROR(I230/G230, ""))</f>
        <v/>
      </c>
      <c r="K229" s="6" t="n"/>
      <c r="L229" s="3" t="n"/>
    </row>
    <row r="230" ht="20.1" customHeight="1">
      <c r="A230" s="1" t="n"/>
      <c r="B230" s="2" t="n"/>
      <c r="C230" s="2" t="n"/>
      <c r="D230" s="3" t="n"/>
      <c r="E230" s="4">
        <f>IFERROR(VALUE(LEFT(D231,FIND(" - ",D231)-1)), "")</f>
        <v/>
      </c>
      <c r="F230" s="5">
        <f>IFERROR(VLOOKUP(E231,Product_Master!A:D,4,FALSE)&amp;"", "")</f>
        <v/>
      </c>
      <c r="G230" s="6" t="n"/>
      <c r="H230" s="6" t="n"/>
      <c r="I230" s="6" t="n"/>
      <c r="J230" s="7">
        <f>IF(OR(G231="",G231=0), "", IFERROR(I231/G231, ""))</f>
        <v/>
      </c>
      <c r="K230" s="6" t="n"/>
      <c r="L230" s="3" t="n"/>
    </row>
    <row r="231" ht="20.1" customHeight="1">
      <c r="A231" s="1" t="n"/>
      <c r="B231" s="2" t="n"/>
      <c r="C231" s="2" t="n"/>
      <c r="D231" s="3" t="n"/>
      <c r="E231" s="4">
        <f>IFERROR(VALUE(LEFT(D232,FIND(" - ",D232)-1)), "")</f>
        <v/>
      </c>
      <c r="F231" s="5">
        <f>IFERROR(VLOOKUP(E232,Product_Master!A:D,4,FALSE)&amp;"", "")</f>
        <v/>
      </c>
      <c r="G231" s="6" t="n"/>
      <c r="H231" s="6" t="n"/>
      <c r="I231" s="6" t="n"/>
      <c r="J231" s="7">
        <f>IF(OR(G232="",G232=0), "", IFERROR(I232/G232, ""))</f>
        <v/>
      </c>
      <c r="K231" s="6" t="n"/>
      <c r="L231" s="3" t="n"/>
    </row>
    <row r="232" ht="20.1" customHeight="1">
      <c r="A232" s="1" t="n"/>
      <c r="B232" s="2" t="n"/>
      <c r="C232" s="2" t="n"/>
      <c r="D232" s="3" t="n"/>
      <c r="E232" s="4">
        <f>IFERROR(VALUE(LEFT(D233,FIND(" - ",D233)-1)), "")</f>
        <v/>
      </c>
      <c r="F232" s="5">
        <f>IFERROR(VLOOKUP(E233,Product_Master!A:D,4,FALSE)&amp;"", "")</f>
        <v/>
      </c>
      <c r="G232" s="6" t="n"/>
      <c r="H232" s="6" t="n"/>
      <c r="I232" s="6" t="n"/>
      <c r="J232" s="7">
        <f>IF(OR(G233="",G233=0), "", IFERROR(I233/G233, ""))</f>
        <v/>
      </c>
      <c r="K232" s="6" t="n"/>
      <c r="L232" s="3" t="n"/>
    </row>
    <row r="233" ht="20.1" customHeight="1">
      <c r="A233" s="1" t="n"/>
      <c r="B233" s="2" t="n"/>
      <c r="C233" s="2" t="n"/>
      <c r="D233" s="3" t="n"/>
      <c r="E233" s="4">
        <f>IFERROR(VALUE(LEFT(D234,FIND(" - ",D234)-1)), "")</f>
        <v/>
      </c>
      <c r="F233" s="5">
        <f>IFERROR(VLOOKUP(E234,Product_Master!A:D,4,FALSE)&amp;"", "")</f>
        <v/>
      </c>
      <c r="G233" s="6" t="n"/>
      <c r="H233" s="6" t="n"/>
      <c r="I233" s="6" t="n"/>
      <c r="J233" s="7">
        <f>IF(OR(G234="",G234=0), "", IFERROR(I234/G234, ""))</f>
        <v/>
      </c>
      <c r="K233" s="6" t="n"/>
      <c r="L233" s="3" t="n"/>
    </row>
    <row r="234" ht="20.1" customHeight="1">
      <c r="A234" s="1" t="n"/>
      <c r="B234" s="2" t="n"/>
      <c r="C234" s="2" t="n"/>
      <c r="D234" s="3" t="n"/>
      <c r="E234" s="4">
        <f>IFERROR(VALUE(LEFT(D235,FIND(" - ",D235)-1)), "")</f>
        <v/>
      </c>
      <c r="F234" s="5">
        <f>IFERROR(VLOOKUP(E235,Product_Master!A:D,4,FALSE)&amp;"", "")</f>
        <v/>
      </c>
      <c r="G234" s="6" t="n"/>
      <c r="H234" s="6" t="n"/>
      <c r="I234" s="6" t="n"/>
      <c r="J234" s="7">
        <f>IF(OR(G235="",G235=0), "", IFERROR(I235/G235, ""))</f>
        <v/>
      </c>
      <c r="K234" s="6" t="n"/>
      <c r="L234" s="3" t="n"/>
    </row>
    <row r="235" ht="20.1" customHeight="1">
      <c r="A235" s="1" t="n"/>
      <c r="B235" s="2" t="n"/>
      <c r="C235" s="2" t="n"/>
      <c r="D235" s="3" t="n"/>
      <c r="E235" s="4">
        <f>IFERROR(VALUE(LEFT(D236,FIND(" - ",D236)-1)), "")</f>
        <v/>
      </c>
      <c r="F235" s="5">
        <f>IFERROR(VLOOKUP(E236,Product_Master!A:D,4,FALSE)&amp;"", "")</f>
        <v/>
      </c>
      <c r="G235" s="6" t="n"/>
      <c r="H235" s="6" t="n"/>
      <c r="I235" s="6" t="n"/>
      <c r="J235" s="7">
        <f>IF(OR(G236="",G236=0), "", IFERROR(I236/G236, ""))</f>
        <v/>
      </c>
      <c r="K235" s="6" t="n"/>
      <c r="L235" s="3" t="n"/>
    </row>
    <row r="236" ht="20.1" customHeight="1">
      <c r="A236" s="1" t="n"/>
      <c r="B236" s="2" t="n"/>
      <c r="C236" s="2" t="n"/>
      <c r="D236" s="3" t="n"/>
      <c r="E236" s="4">
        <f>IFERROR(VALUE(LEFT(D237,FIND(" - ",D237)-1)), "")</f>
        <v/>
      </c>
      <c r="F236" s="5">
        <f>IFERROR(VLOOKUP(E237,Product_Master!A:D,4,FALSE)&amp;"", "")</f>
        <v/>
      </c>
      <c r="G236" s="6" t="n"/>
      <c r="H236" s="6" t="n"/>
      <c r="I236" s="6" t="n"/>
      <c r="J236" s="7">
        <f>IF(OR(G237="",G237=0), "", IFERROR(I237/G237, ""))</f>
        <v/>
      </c>
      <c r="K236" s="6" t="n"/>
      <c r="L236" s="3" t="n"/>
    </row>
    <row r="237" ht="20.1" customHeight="1">
      <c r="A237" s="1" t="n"/>
      <c r="B237" s="2" t="n"/>
      <c r="C237" s="2" t="n"/>
      <c r="D237" s="3" t="n"/>
      <c r="E237" s="4">
        <f>IFERROR(VALUE(LEFT(D238,FIND(" - ",D238)-1)), "")</f>
        <v/>
      </c>
      <c r="F237" s="5">
        <f>IFERROR(VLOOKUP(E238,Product_Master!A:D,4,FALSE)&amp;"", "")</f>
        <v/>
      </c>
      <c r="G237" s="6" t="n"/>
      <c r="H237" s="6" t="n"/>
      <c r="I237" s="6" t="n"/>
      <c r="J237" s="7">
        <f>IF(OR(G238="",G238=0), "", IFERROR(I238/G238, ""))</f>
        <v/>
      </c>
      <c r="K237" s="6" t="n"/>
      <c r="L237" s="3" t="n"/>
    </row>
    <row r="238" ht="20.1" customHeight="1">
      <c r="A238" s="1" t="n"/>
      <c r="B238" s="2" t="n"/>
      <c r="C238" s="2" t="n"/>
      <c r="D238" s="3" t="n"/>
      <c r="E238" s="4">
        <f>IFERROR(VALUE(LEFT(D239,FIND(" - ",D239)-1)), "")</f>
        <v/>
      </c>
      <c r="F238" s="5">
        <f>IFERROR(VLOOKUP(E239,Product_Master!A:D,4,FALSE)&amp;"", "")</f>
        <v/>
      </c>
      <c r="G238" s="6" t="n"/>
      <c r="H238" s="6" t="n"/>
      <c r="I238" s="6" t="n"/>
      <c r="J238" s="7">
        <f>IF(OR(G239="",G239=0), "", IFERROR(I239/G239, ""))</f>
        <v/>
      </c>
      <c r="K238" s="6" t="n"/>
      <c r="L238" s="3" t="n"/>
    </row>
    <row r="239" ht="20.1" customHeight="1">
      <c r="A239" s="1" t="n"/>
      <c r="B239" s="2" t="n"/>
      <c r="C239" s="2" t="n"/>
      <c r="D239" s="3" t="n"/>
      <c r="E239" s="4">
        <f>IFERROR(VALUE(LEFT(D240,FIND(" - ",D240)-1)), "")</f>
        <v/>
      </c>
      <c r="F239" s="5">
        <f>IFERROR(VLOOKUP(E240,Product_Master!A:D,4,FALSE)&amp;"", "")</f>
        <v/>
      </c>
      <c r="G239" s="6" t="n"/>
      <c r="H239" s="6" t="n"/>
      <c r="I239" s="6" t="n"/>
      <c r="J239" s="7">
        <f>IF(OR(G240="",G240=0), "", IFERROR(I240/G240, ""))</f>
        <v/>
      </c>
      <c r="K239" s="6" t="n"/>
      <c r="L239" s="3" t="n"/>
    </row>
    <row r="240" ht="20.1" customHeight="1">
      <c r="A240" s="1" t="n"/>
      <c r="B240" s="2" t="n"/>
      <c r="C240" s="2" t="n"/>
      <c r="D240" s="3" t="n"/>
      <c r="E240" s="4">
        <f>IFERROR(VALUE(LEFT(D241,FIND(" - ",D241)-1)), "")</f>
        <v/>
      </c>
      <c r="F240" s="5">
        <f>IFERROR(VLOOKUP(E241,Product_Master!A:D,4,FALSE)&amp;"", "")</f>
        <v/>
      </c>
      <c r="G240" s="6" t="n"/>
      <c r="H240" s="6" t="n"/>
      <c r="I240" s="6" t="n"/>
      <c r="J240" s="7">
        <f>IF(OR(G241="",G241=0), "", IFERROR(I241/G241, ""))</f>
        <v/>
      </c>
      <c r="K240" s="6" t="n"/>
      <c r="L240" s="3" t="n"/>
    </row>
    <row r="241" ht="20.1" customHeight="1">
      <c r="A241" s="1" t="n"/>
      <c r="B241" s="2" t="n"/>
      <c r="C241" s="2" t="n"/>
      <c r="D241" s="3" t="n"/>
      <c r="E241" s="4">
        <f>IFERROR(VALUE(LEFT(D242,FIND(" - ",D242)-1)), "")</f>
        <v/>
      </c>
      <c r="F241" s="5">
        <f>IFERROR(VLOOKUP(E242,Product_Master!A:D,4,FALSE)&amp;"", "")</f>
        <v/>
      </c>
      <c r="G241" s="6" t="n"/>
      <c r="H241" s="6" t="n"/>
      <c r="I241" s="6" t="n"/>
      <c r="J241" s="7">
        <f>IF(OR(G242="",G242=0), "", IFERROR(I242/G242, ""))</f>
        <v/>
      </c>
      <c r="K241" s="6" t="n"/>
      <c r="L241" s="3" t="n"/>
    </row>
    <row r="242" ht="20.1" customHeight="1">
      <c r="A242" s="1" t="n"/>
      <c r="B242" s="2" t="n"/>
      <c r="C242" s="2" t="n"/>
      <c r="D242" s="3" t="n"/>
      <c r="E242" s="4">
        <f>IFERROR(VALUE(LEFT(D243,FIND(" - ",D243)-1)), "")</f>
        <v/>
      </c>
      <c r="F242" s="5">
        <f>IFERROR(VLOOKUP(E243,Product_Master!A:D,4,FALSE)&amp;"", "")</f>
        <v/>
      </c>
      <c r="G242" s="6" t="n"/>
      <c r="H242" s="6" t="n"/>
      <c r="I242" s="6" t="n"/>
      <c r="J242" s="7">
        <f>IF(OR(G243="",G243=0), "", IFERROR(I243/G243, ""))</f>
        <v/>
      </c>
      <c r="K242" s="6" t="n"/>
      <c r="L242" s="3" t="n"/>
    </row>
    <row r="243" ht="20.1" customHeight="1">
      <c r="A243" s="1" t="n"/>
      <c r="B243" s="2" t="n"/>
      <c r="C243" s="2" t="n"/>
      <c r="D243" s="3" t="n"/>
      <c r="E243" s="4">
        <f>IFERROR(VALUE(LEFT(D244,FIND(" - ",D244)-1)), "")</f>
        <v/>
      </c>
      <c r="F243" s="5">
        <f>IFERROR(VLOOKUP(E244,Product_Master!A:D,4,FALSE)&amp;"", "")</f>
        <v/>
      </c>
      <c r="G243" s="6" t="n"/>
      <c r="H243" s="6" t="n"/>
      <c r="I243" s="6" t="n"/>
      <c r="J243" s="7">
        <f>IF(OR(G244="",G244=0), "", IFERROR(I244/G244, ""))</f>
        <v/>
      </c>
      <c r="K243" s="6" t="n"/>
      <c r="L243" s="3" t="n"/>
    </row>
    <row r="244" ht="20.1" customHeight="1">
      <c r="A244" s="1" t="n"/>
      <c r="B244" s="2" t="n"/>
      <c r="C244" s="2" t="n"/>
      <c r="D244" s="3" t="n"/>
      <c r="E244" s="4">
        <f>IFERROR(VALUE(LEFT(D245,FIND(" - ",D245)-1)), "")</f>
        <v/>
      </c>
      <c r="F244" s="5">
        <f>IFERROR(VLOOKUP(E245,Product_Master!A:D,4,FALSE)&amp;"", "")</f>
        <v/>
      </c>
      <c r="G244" s="6" t="n"/>
      <c r="H244" s="6" t="n"/>
      <c r="I244" s="6" t="n"/>
      <c r="J244" s="7">
        <f>IF(OR(G245="",G245=0), "", IFERROR(I245/G245, ""))</f>
        <v/>
      </c>
      <c r="K244" s="6" t="n"/>
      <c r="L244" s="3" t="n"/>
    </row>
    <row r="245" ht="20.1" customHeight="1">
      <c r="A245" s="1" t="n"/>
      <c r="B245" s="2" t="n"/>
      <c r="C245" s="2" t="n"/>
      <c r="D245" s="3" t="n"/>
      <c r="E245" s="4">
        <f>IFERROR(VALUE(LEFT(D246,FIND(" - ",D246)-1)), "")</f>
        <v/>
      </c>
      <c r="F245" s="5">
        <f>IFERROR(VLOOKUP(E246,Product_Master!A:D,4,FALSE)&amp;"", "")</f>
        <v/>
      </c>
      <c r="G245" s="6" t="n"/>
      <c r="H245" s="6" t="n"/>
      <c r="I245" s="6" t="n"/>
      <c r="J245" s="7">
        <f>IF(OR(G246="",G246=0), "", IFERROR(I246/G246, ""))</f>
        <v/>
      </c>
      <c r="K245" s="6" t="n"/>
      <c r="L245" s="3" t="n"/>
    </row>
    <row r="246" ht="20.1" customHeight="1">
      <c r="A246" s="1" t="n"/>
      <c r="B246" s="2" t="n"/>
      <c r="C246" s="2" t="n"/>
      <c r="D246" s="3" t="n"/>
      <c r="E246" s="4">
        <f>IFERROR(VALUE(LEFT(D247,FIND(" - ",D247)-1)), "")</f>
        <v/>
      </c>
      <c r="F246" s="5">
        <f>IFERROR(VLOOKUP(E247,Product_Master!A:D,4,FALSE)&amp;"", "")</f>
        <v/>
      </c>
      <c r="G246" s="6" t="n"/>
      <c r="H246" s="6" t="n"/>
      <c r="I246" s="6" t="n"/>
      <c r="J246" s="7">
        <f>IF(OR(G247="",G247=0), "", IFERROR(I247/G247, ""))</f>
        <v/>
      </c>
      <c r="K246" s="6" t="n"/>
      <c r="L246" s="3" t="n"/>
    </row>
    <row r="247" ht="20.1" customHeight="1">
      <c r="A247" s="1" t="n"/>
      <c r="B247" s="2" t="n"/>
      <c r="C247" s="2" t="n"/>
      <c r="D247" s="3" t="n"/>
      <c r="E247" s="4">
        <f>IFERROR(VALUE(LEFT(D248,FIND(" - ",D248)-1)), "")</f>
        <v/>
      </c>
      <c r="F247" s="5">
        <f>IFERROR(VLOOKUP(E248,Product_Master!A:D,4,FALSE)&amp;"", "")</f>
        <v/>
      </c>
      <c r="G247" s="6" t="n"/>
      <c r="H247" s="6" t="n"/>
      <c r="I247" s="6" t="n"/>
      <c r="J247" s="7">
        <f>IF(OR(G248="",G248=0), "", IFERROR(I248/G248, ""))</f>
        <v/>
      </c>
      <c r="K247" s="6" t="n"/>
      <c r="L247" s="3" t="n"/>
    </row>
    <row r="248" ht="20.1" customHeight="1">
      <c r="A248" s="1" t="n"/>
      <c r="B248" s="2" t="n"/>
      <c r="C248" s="2" t="n"/>
      <c r="D248" s="3" t="n"/>
      <c r="E248" s="4">
        <f>IFERROR(VALUE(LEFT(D249,FIND(" - ",D249)-1)), "")</f>
        <v/>
      </c>
      <c r="F248" s="5">
        <f>IFERROR(VLOOKUP(E249,Product_Master!A:D,4,FALSE)&amp;"", "")</f>
        <v/>
      </c>
      <c r="G248" s="6" t="n"/>
      <c r="H248" s="6" t="n"/>
      <c r="I248" s="6" t="n"/>
      <c r="J248" s="7">
        <f>IF(OR(G249="",G249=0), "", IFERROR(I249/G249, ""))</f>
        <v/>
      </c>
      <c r="K248" s="6" t="n"/>
      <c r="L248" s="3" t="n"/>
    </row>
    <row r="249" ht="20.1" customHeight="1">
      <c r="A249" s="1" t="n"/>
      <c r="B249" s="2" t="n"/>
      <c r="C249" s="2" t="n"/>
      <c r="D249" s="3" t="n"/>
      <c r="E249" s="4">
        <f>IFERROR(VALUE(LEFT(D250,FIND(" - ",D250)-1)), "")</f>
        <v/>
      </c>
      <c r="F249" s="5">
        <f>IFERROR(VLOOKUP(E250,Product_Master!A:D,4,FALSE)&amp;"", "")</f>
        <v/>
      </c>
      <c r="G249" s="6" t="n"/>
      <c r="H249" s="6" t="n"/>
      <c r="I249" s="6" t="n"/>
      <c r="J249" s="7">
        <f>IF(OR(G250="",G250=0), "", IFERROR(I250/G250, ""))</f>
        <v/>
      </c>
      <c r="K249" s="6" t="n"/>
      <c r="L249" s="3" t="n"/>
    </row>
    <row r="250" ht="20.1" customHeight="1">
      <c r="A250" s="1" t="n"/>
      <c r="B250" s="2" t="n"/>
      <c r="C250" s="2" t="n"/>
      <c r="D250" s="3" t="n"/>
      <c r="E250" s="4">
        <f>IFERROR(VALUE(LEFT(D251,FIND(" - ",D251)-1)), "")</f>
        <v/>
      </c>
      <c r="F250" s="5">
        <f>IFERROR(VLOOKUP(E251,Product_Master!A:D,4,FALSE)&amp;"", "")</f>
        <v/>
      </c>
      <c r="G250" s="6" t="n"/>
      <c r="H250" s="6" t="n"/>
      <c r="I250" s="6" t="n"/>
      <c r="J250" s="7">
        <f>IF(OR(G251="",G251=0), "", IFERROR(I251/G251, ""))</f>
        <v/>
      </c>
      <c r="K250" s="6" t="n"/>
      <c r="L250" s="3" t="n"/>
    </row>
    <row r="251" ht="20.1" customHeight="1">
      <c r="A251" s="1" t="n"/>
      <c r="B251" s="2" t="n"/>
      <c r="C251" s="2" t="n"/>
      <c r="D251" s="3" t="n"/>
      <c r="E251" s="4">
        <f>IFERROR(VALUE(LEFT(D252,FIND(" - ",D252)-1)), "")</f>
        <v/>
      </c>
      <c r="F251" s="5">
        <f>IFERROR(VLOOKUP(E252,Product_Master!A:D,4,FALSE)&amp;"", "")</f>
        <v/>
      </c>
      <c r="G251" s="6" t="n"/>
      <c r="H251" s="6" t="n"/>
      <c r="I251" s="6" t="n"/>
      <c r="J251" s="7">
        <f>IF(OR(G252="",G252=0), "", IFERROR(I252/G252, ""))</f>
        <v/>
      </c>
      <c r="K251" s="6" t="n"/>
      <c r="L251" s="3" t="n"/>
    </row>
    <row r="252" ht="20.1" customHeight="1">
      <c r="A252" s="1" t="n"/>
      <c r="B252" s="2" t="n"/>
      <c r="C252" s="2" t="n"/>
      <c r="D252" s="3" t="n"/>
      <c r="E252" s="4">
        <f>IFERROR(VALUE(LEFT(D253,FIND(" - ",D253)-1)), "")</f>
        <v/>
      </c>
      <c r="F252" s="5">
        <f>IFERROR(VLOOKUP(E253,Product_Master!A:D,4,FALSE)&amp;"", "")</f>
        <v/>
      </c>
      <c r="G252" s="6" t="n"/>
      <c r="H252" s="6" t="n"/>
      <c r="I252" s="6" t="n"/>
      <c r="J252" s="7">
        <f>IF(OR(G253="",G253=0), "", IFERROR(I253/G253, ""))</f>
        <v/>
      </c>
      <c r="K252" s="6" t="n"/>
      <c r="L252" s="3" t="n"/>
    </row>
    <row r="253" ht="20.1" customHeight="1">
      <c r="A253" s="1" t="n"/>
      <c r="B253" s="2" t="n"/>
      <c r="C253" s="2" t="n"/>
      <c r="D253" s="3" t="n"/>
      <c r="E253" s="4">
        <f>IFERROR(VALUE(LEFT(D254,FIND(" - ",D254)-1)), "")</f>
        <v/>
      </c>
      <c r="F253" s="5">
        <f>IFERROR(VLOOKUP(E254,Product_Master!A:D,4,FALSE)&amp;"", "")</f>
        <v/>
      </c>
      <c r="G253" s="6" t="n"/>
      <c r="H253" s="6" t="n"/>
      <c r="I253" s="6" t="n"/>
      <c r="J253" s="7">
        <f>IF(OR(G254="",G254=0), "", IFERROR(I254/G254, ""))</f>
        <v/>
      </c>
      <c r="K253" s="6" t="n"/>
      <c r="L253" s="3" t="n"/>
    </row>
    <row r="254" ht="20.1" customHeight="1">
      <c r="A254" s="1" t="n"/>
      <c r="B254" s="2" t="n"/>
      <c r="C254" s="2" t="n"/>
      <c r="D254" s="3" t="n"/>
      <c r="E254" s="4">
        <f>IFERROR(VALUE(LEFT(D255,FIND(" - ",D255)-1)), "")</f>
        <v/>
      </c>
      <c r="F254" s="5">
        <f>IFERROR(VLOOKUP(E255,Product_Master!A:D,4,FALSE)&amp;"", "")</f>
        <v/>
      </c>
      <c r="G254" s="6" t="n"/>
      <c r="H254" s="6" t="n"/>
      <c r="I254" s="6" t="n"/>
      <c r="J254" s="7">
        <f>IF(OR(G255="",G255=0), "", IFERROR(I255/G255, ""))</f>
        <v/>
      </c>
      <c r="K254" s="6" t="n"/>
      <c r="L254" s="3" t="n"/>
    </row>
    <row r="255" ht="20.1" customHeight="1">
      <c r="A255" s="1" t="n"/>
      <c r="B255" s="2" t="n"/>
      <c r="C255" s="2" t="n"/>
      <c r="D255" s="3" t="n"/>
      <c r="E255" s="4">
        <f>IFERROR(VALUE(LEFT(D256,FIND(" - ",D256)-1)), "")</f>
        <v/>
      </c>
      <c r="F255" s="5">
        <f>IFERROR(VLOOKUP(E256,Product_Master!A:D,4,FALSE)&amp;"", "")</f>
        <v/>
      </c>
      <c r="G255" s="6" t="n"/>
      <c r="H255" s="6" t="n"/>
      <c r="I255" s="6" t="n"/>
      <c r="J255" s="7">
        <f>IF(OR(G256="",G256=0), "", IFERROR(I256/G256, ""))</f>
        <v/>
      </c>
      <c r="K255" s="6" t="n"/>
      <c r="L255" s="3" t="n"/>
    </row>
    <row r="256" ht="20.1" customHeight="1">
      <c r="A256" s="1" t="n"/>
      <c r="B256" s="2" t="n"/>
      <c r="C256" s="2" t="n"/>
      <c r="D256" s="3" t="n"/>
      <c r="E256" s="4">
        <f>IFERROR(VALUE(LEFT(D257,FIND(" - ",D257)-1)), "")</f>
        <v/>
      </c>
      <c r="F256" s="5">
        <f>IFERROR(VLOOKUP(E257,Product_Master!A:D,4,FALSE)&amp;"", "")</f>
        <v/>
      </c>
      <c r="G256" s="6" t="n"/>
      <c r="H256" s="6" t="n"/>
      <c r="I256" s="6" t="n"/>
      <c r="J256" s="7">
        <f>IF(OR(G257="",G257=0), "", IFERROR(I257/G257, ""))</f>
        <v/>
      </c>
      <c r="K256" s="6" t="n"/>
      <c r="L256" s="3" t="n"/>
    </row>
    <row r="257" ht="20.1" customHeight="1">
      <c r="A257" s="1" t="n"/>
      <c r="B257" s="2" t="n"/>
      <c r="C257" s="2" t="n"/>
      <c r="D257" s="3" t="n"/>
      <c r="E257" s="4">
        <f>IFERROR(VALUE(LEFT(D258,FIND(" - ",D258)-1)), "")</f>
        <v/>
      </c>
      <c r="F257" s="5">
        <f>IFERROR(VLOOKUP(E258,Product_Master!A:D,4,FALSE)&amp;"", "")</f>
        <v/>
      </c>
      <c r="G257" s="6" t="n"/>
      <c r="H257" s="6" t="n"/>
      <c r="I257" s="6" t="n"/>
      <c r="J257" s="7">
        <f>IF(OR(G258="",G258=0), "", IFERROR(I258/G258, ""))</f>
        <v/>
      </c>
      <c r="K257" s="6" t="n"/>
      <c r="L257" s="3" t="n"/>
    </row>
    <row r="258" ht="20.1" customHeight="1">
      <c r="A258" s="1" t="n"/>
      <c r="B258" s="2" t="n"/>
      <c r="C258" s="2" t="n"/>
      <c r="D258" s="3" t="n"/>
      <c r="E258" s="4">
        <f>IFERROR(VALUE(LEFT(D259,FIND(" - ",D259)-1)), "")</f>
        <v/>
      </c>
      <c r="F258" s="5">
        <f>IFERROR(VLOOKUP(E259,Product_Master!A:D,4,FALSE)&amp;"", "")</f>
        <v/>
      </c>
      <c r="G258" s="6" t="n"/>
      <c r="H258" s="6" t="n"/>
      <c r="I258" s="6" t="n"/>
      <c r="J258" s="7">
        <f>IF(OR(G259="",G259=0), "", IFERROR(I259/G259, ""))</f>
        <v/>
      </c>
      <c r="K258" s="6" t="n"/>
      <c r="L258" s="3" t="n"/>
    </row>
    <row r="259" ht="20.1" customHeight="1">
      <c r="A259" s="1" t="n"/>
      <c r="B259" s="2" t="n"/>
      <c r="C259" s="2" t="n"/>
      <c r="D259" s="3" t="n"/>
      <c r="E259" s="4">
        <f>IFERROR(VALUE(LEFT(D260,FIND(" - ",D260)-1)), "")</f>
        <v/>
      </c>
      <c r="F259" s="5">
        <f>IFERROR(VLOOKUP(E260,Product_Master!A:D,4,FALSE)&amp;"", "")</f>
        <v/>
      </c>
      <c r="G259" s="6" t="n"/>
      <c r="H259" s="6" t="n"/>
      <c r="I259" s="6" t="n"/>
      <c r="J259" s="7">
        <f>IF(OR(G260="",G260=0), "", IFERROR(I260/G260, ""))</f>
        <v/>
      </c>
      <c r="K259" s="6" t="n"/>
      <c r="L259" s="3" t="n"/>
    </row>
    <row r="260" ht="20.1" customHeight="1">
      <c r="A260" s="1" t="n"/>
      <c r="B260" s="2" t="n"/>
      <c r="C260" s="2" t="n"/>
      <c r="D260" s="3" t="n"/>
      <c r="E260" s="4">
        <f>IFERROR(VALUE(LEFT(D261,FIND(" - ",D261)-1)), "")</f>
        <v/>
      </c>
      <c r="F260" s="5">
        <f>IFERROR(VLOOKUP(E261,Product_Master!A:D,4,FALSE)&amp;"", "")</f>
        <v/>
      </c>
      <c r="G260" s="6" t="n"/>
      <c r="H260" s="6" t="n"/>
      <c r="I260" s="6" t="n"/>
      <c r="J260" s="7">
        <f>IF(OR(G261="",G261=0), "", IFERROR(I261/G261, ""))</f>
        <v/>
      </c>
      <c r="K260" s="6" t="n"/>
      <c r="L260" s="3" t="n"/>
    </row>
    <row r="261" ht="20.1" customHeight="1">
      <c r="A261" s="1" t="n"/>
      <c r="B261" s="2" t="n"/>
      <c r="C261" s="2" t="n"/>
      <c r="D261" s="3" t="n"/>
      <c r="E261" s="4">
        <f>IFERROR(VALUE(LEFT(D262,FIND(" - ",D262)-1)), "")</f>
        <v/>
      </c>
      <c r="F261" s="5">
        <f>IFERROR(VLOOKUP(E262,Product_Master!A:D,4,FALSE)&amp;"", "")</f>
        <v/>
      </c>
      <c r="G261" s="6" t="n"/>
      <c r="H261" s="6" t="n"/>
      <c r="I261" s="6" t="n"/>
      <c r="J261" s="7">
        <f>IF(OR(G262="",G262=0), "", IFERROR(I262/G262, ""))</f>
        <v/>
      </c>
      <c r="K261" s="6" t="n"/>
      <c r="L261" s="3" t="n"/>
    </row>
    <row r="262" ht="20.1" customHeight="1">
      <c r="A262" s="1" t="n"/>
      <c r="B262" s="2" t="n"/>
      <c r="C262" s="2" t="n"/>
      <c r="D262" s="3" t="n"/>
      <c r="E262" s="4">
        <f>IFERROR(VALUE(LEFT(D263,FIND(" - ",D263)-1)), "")</f>
        <v/>
      </c>
      <c r="F262" s="5">
        <f>IFERROR(VLOOKUP(E263,Product_Master!A:D,4,FALSE)&amp;"", "")</f>
        <v/>
      </c>
      <c r="G262" s="6" t="n"/>
      <c r="H262" s="6" t="n"/>
      <c r="I262" s="6" t="n"/>
      <c r="J262" s="7">
        <f>IF(OR(G263="",G263=0), "", IFERROR(I263/G263, ""))</f>
        <v/>
      </c>
      <c r="K262" s="6" t="n"/>
      <c r="L262" s="3" t="n"/>
    </row>
    <row r="263" ht="20.1" customHeight="1">
      <c r="A263" s="1" t="n"/>
      <c r="B263" s="2" t="n"/>
      <c r="C263" s="2" t="n"/>
      <c r="D263" s="3" t="n"/>
      <c r="E263" s="4">
        <f>IFERROR(VALUE(LEFT(D264,FIND(" - ",D264)-1)), "")</f>
        <v/>
      </c>
      <c r="F263" s="5">
        <f>IFERROR(VLOOKUP(E264,Product_Master!A:D,4,FALSE)&amp;"", "")</f>
        <v/>
      </c>
      <c r="G263" s="6" t="n"/>
      <c r="H263" s="6" t="n"/>
      <c r="I263" s="6" t="n"/>
      <c r="J263" s="7">
        <f>IF(OR(G264="",G264=0), "", IFERROR(I264/G264, ""))</f>
        <v/>
      </c>
      <c r="K263" s="6" t="n"/>
      <c r="L263" s="3" t="n"/>
    </row>
    <row r="264" ht="20.1" customHeight="1">
      <c r="A264" s="1" t="n"/>
      <c r="B264" s="2" t="n"/>
      <c r="C264" s="2" t="n"/>
      <c r="D264" s="3" t="n"/>
      <c r="E264" s="4">
        <f>IFERROR(VALUE(LEFT(D265,FIND(" - ",D265)-1)), "")</f>
        <v/>
      </c>
      <c r="F264" s="5">
        <f>IFERROR(VLOOKUP(E265,Product_Master!A:D,4,FALSE)&amp;"", "")</f>
        <v/>
      </c>
      <c r="G264" s="6" t="n"/>
      <c r="H264" s="6" t="n"/>
      <c r="I264" s="6" t="n"/>
      <c r="J264" s="7">
        <f>IF(OR(G265="",G265=0), "", IFERROR(I265/G265, ""))</f>
        <v/>
      </c>
      <c r="K264" s="6" t="n"/>
      <c r="L264" s="3" t="n"/>
    </row>
    <row r="265" ht="20.1" customHeight="1">
      <c r="A265" s="1" t="n"/>
      <c r="B265" s="2" t="n"/>
      <c r="C265" s="2" t="n"/>
      <c r="D265" s="3" t="n"/>
      <c r="E265" s="4">
        <f>IFERROR(VALUE(LEFT(D266,FIND(" - ",D266)-1)), "")</f>
        <v/>
      </c>
      <c r="F265" s="5">
        <f>IFERROR(VLOOKUP(E266,Product_Master!A:D,4,FALSE)&amp;"", "")</f>
        <v/>
      </c>
      <c r="G265" s="6" t="n"/>
      <c r="H265" s="6" t="n"/>
      <c r="I265" s="6" t="n"/>
      <c r="J265" s="7">
        <f>IF(OR(G266="",G266=0), "", IFERROR(I266/G266, ""))</f>
        <v/>
      </c>
      <c r="K265" s="6" t="n"/>
      <c r="L265" s="3" t="n"/>
    </row>
    <row r="266" ht="20.1" customHeight="1">
      <c r="A266" s="1" t="n"/>
      <c r="B266" s="2" t="n"/>
      <c r="C266" s="2" t="n"/>
      <c r="D266" s="3" t="n"/>
      <c r="E266" s="4">
        <f>IFERROR(VALUE(LEFT(D267,FIND(" - ",D267)-1)), "")</f>
        <v/>
      </c>
      <c r="F266" s="5">
        <f>IFERROR(VLOOKUP(E267,Product_Master!A:D,4,FALSE)&amp;"", "")</f>
        <v/>
      </c>
      <c r="G266" s="6" t="n"/>
      <c r="H266" s="6" t="n"/>
      <c r="I266" s="6" t="n"/>
      <c r="J266" s="7">
        <f>IF(OR(G267="",G267=0), "", IFERROR(I267/G267, ""))</f>
        <v/>
      </c>
      <c r="K266" s="6" t="n"/>
      <c r="L266" s="3" t="n"/>
    </row>
    <row r="267" ht="20.1" customHeight="1">
      <c r="A267" s="1" t="n"/>
      <c r="B267" s="2" t="n"/>
      <c r="C267" s="2" t="n"/>
      <c r="D267" s="3" t="n"/>
      <c r="E267" s="4">
        <f>IFERROR(VALUE(LEFT(D268,FIND(" - ",D268)-1)), "")</f>
        <v/>
      </c>
      <c r="F267" s="5">
        <f>IFERROR(VLOOKUP(E268,Product_Master!A:D,4,FALSE)&amp;"", "")</f>
        <v/>
      </c>
      <c r="G267" s="6" t="n"/>
      <c r="H267" s="6" t="n"/>
      <c r="I267" s="6" t="n"/>
      <c r="J267" s="7">
        <f>IF(OR(G268="",G268=0), "", IFERROR(I268/G268, ""))</f>
        <v/>
      </c>
      <c r="K267" s="6" t="n"/>
      <c r="L267" s="3" t="n"/>
    </row>
    <row r="268" ht="20.1" customHeight="1">
      <c r="A268" s="1" t="n"/>
      <c r="B268" s="2" t="n"/>
      <c r="C268" s="2" t="n"/>
      <c r="D268" s="3" t="n"/>
      <c r="E268" s="4">
        <f>IFERROR(VALUE(LEFT(D269,FIND(" - ",D269)-1)), "")</f>
        <v/>
      </c>
      <c r="F268" s="5">
        <f>IFERROR(VLOOKUP(E269,Product_Master!A:D,4,FALSE)&amp;"", "")</f>
        <v/>
      </c>
      <c r="G268" s="6" t="n"/>
      <c r="H268" s="6" t="n"/>
      <c r="I268" s="6" t="n"/>
      <c r="J268" s="7">
        <f>IF(OR(G269="",G269=0), "", IFERROR(I269/G269, ""))</f>
        <v/>
      </c>
      <c r="K268" s="6" t="n"/>
      <c r="L268" s="3" t="n"/>
    </row>
    <row r="269" ht="20.1" customHeight="1">
      <c r="A269" s="1" t="n"/>
      <c r="B269" s="2" t="n"/>
      <c r="C269" s="2" t="n"/>
      <c r="D269" s="3" t="n"/>
      <c r="E269" s="4">
        <f>IFERROR(VALUE(LEFT(D270,FIND(" - ",D270)-1)), "")</f>
        <v/>
      </c>
      <c r="F269" s="5">
        <f>IFERROR(VLOOKUP(E270,Product_Master!A:D,4,FALSE)&amp;"", "")</f>
        <v/>
      </c>
      <c r="G269" s="6" t="n"/>
      <c r="H269" s="6" t="n"/>
      <c r="I269" s="6" t="n"/>
      <c r="J269" s="7">
        <f>IF(OR(G270="",G270=0), "", IFERROR(I270/G270, ""))</f>
        <v/>
      </c>
      <c r="K269" s="6" t="n"/>
      <c r="L269" s="3" t="n"/>
    </row>
    <row r="270" ht="20.1" customHeight="1">
      <c r="A270" s="1" t="n"/>
      <c r="B270" s="2" t="n"/>
      <c r="C270" s="2" t="n"/>
      <c r="D270" s="3" t="n"/>
      <c r="E270" s="4">
        <f>IFERROR(VALUE(LEFT(D271,FIND(" - ",D271)-1)), "")</f>
        <v/>
      </c>
      <c r="F270" s="5">
        <f>IFERROR(VLOOKUP(E271,Product_Master!A:D,4,FALSE)&amp;"", "")</f>
        <v/>
      </c>
      <c r="G270" s="6" t="n"/>
      <c r="H270" s="6" t="n"/>
      <c r="I270" s="6" t="n"/>
      <c r="J270" s="7">
        <f>IF(OR(G271="",G271=0), "", IFERROR(I271/G271, ""))</f>
        <v/>
      </c>
      <c r="K270" s="6" t="n"/>
      <c r="L270" s="3" t="n"/>
    </row>
    <row r="271" ht="20.1" customHeight="1">
      <c r="A271" s="1" t="n"/>
      <c r="B271" s="2" t="n"/>
      <c r="C271" s="2" t="n"/>
      <c r="D271" s="3" t="n"/>
      <c r="E271" s="4">
        <f>IFERROR(VALUE(LEFT(D272,FIND(" - ",D272)-1)), "")</f>
        <v/>
      </c>
      <c r="F271" s="5">
        <f>IFERROR(VLOOKUP(E272,Product_Master!A:D,4,FALSE)&amp;"", "")</f>
        <v/>
      </c>
      <c r="G271" s="6" t="n"/>
      <c r="H271" s="6" t="n"/>
      <c r="I271" s="6" t="n"/>
      <c r="J271" s="7">
        <f>IF(OR(G272="",G272=0), "", IFERROR(I272/G272, ""))</f>
        <v/>
      </c>
      <c r="K271" s="6" t="n"/>
      <c r="L271" s="3" t="n"/>
    </row>
    <row r="272" ht="20.1" customHeight="1">
      <c r="A272" s="1" t="n"/>
      <c r="B272" s="2" t="n"/>
      <c r="C272" s="2" t="n"/>
      <c r="D272" s="3" t="n"/>
      <c r="E272" s="4">
        <f>IFERROR(VALUE(LEFT(D273,FIND(" - ",D273)-1)), "")</f>
        <v/>
      </c>
      <c r="F272" s="5">
        <f>IFERROR(VLOOKUP(E273,Product_Master!A:D,4,FALSE)&amp;"", "")</f>
        <v/>
      </c>
      <c r="G272" s="6" t="n"/>
      <c r="H272" s="6" t="n"/>
      <c r="I272" s="6" t="n"/>
      <c r="J272" s="7">
        <f>IF(OR(G273="",G273=0), "", IFERROR(I273/G273, ""))</f>
        <v/>
      </c>
      <c r="K272" s="6" t="n"/>
      <c r="L272" s="3" t="n"/>
    </row>
    <row r="273" ht="20.1" customHeight="1">
      <c r="A273" s="1" t="n"/>
      <c r="B273" s="2" t="n"/>
      <c r="C273" s="2" t="n"/>
      <c r="D273" s="3" t="n"/>
      <c r="E273" s="4">
        <f>IFERROR(VALUE(LEFT(D274,FIND(" - ",D274)-1)), "")</f>
        <v/>
      </c>
      <c r="F273" s="5">
        <f>IFERROR(VLOOKUP(E274,Product_Master!A:D,4,FALSE)&amp;"", "")</f>
        <v/>
      </c>
      <c r="G273" s="6" t="n"/>
      <c r="H273" s="6" t="n"/>
      <c r="I273" s="6" t="n"/>
      <c r="J273" s="7">
        <f>IF(OR(G274="",G274=0), "", IFERROR(I274/G274, ""))</f>
        <v/>
      </c>
      <c r="K273" s="6" t="n"/>
      <c r="L273" s="3" t="n"/>
    </row>
    <row r="274" ht="20.1" customHeight="1">
      <c r="A274" s="1" t="n"/>
      <c r="B274" s="2" t="n"/>
      <c r="C274" s="2" t="n"/>
      <c r="D274" s="3" t="n"/>
      <c r="E274" s="4">
        <f>IFERROR(VALUE(LEFT(D275,FIND(" - ",D275)-1)), "")</f>
        <v/>
      </c>
      <c r="F274" s="5">
        <f>IFERROR(VLOOKUP(E275,Product_Master!A:D,4,FALSE)&amp;"", "")</f>
        <v/>
      </c>
      <c r="G274" s="6" t="n"/>
      <c r="H274" s="6" t="n"/>
      <c r="I274" s="6" t="n"/>
      <c r="J274" s="7">
        <f>IF(OR(G275="",G275=0), "", IFERROR(I275/G275, ""))</f>
        <v/>
      </c>
      <c r="K274" s="6" t="n"/>
      <c r="L274" s="3" t="n"/>
    </row>
    <row r="275" ht="20.1" customHeight="1">
      <c r="A275" s="1" t="n"/>
      <c r="B275" s="2" t="n"/>
      <c r="C275" s="2" t="n"/>
      <c r="D275" s="3" t="n"/>
      <c r="E275" s="4">
        <f>IFERROR(VALUE(LEFT(D276,FIND(" - ",D276)-1)), "")</f>
        <v/>
      </c>
      <c r="F275" s="5">
        <f>IFERROR(VLOOKUP(E276,Product_Master!A:D,4,FALSE)&amp;"", "")</f>
        <v/>
      </c>
      <c r="G275" s="6" t="n"/>
      <c r="H275" s="6" t="n"/>
      <c r="I275" s="6" t="n"/>
      <c r="J275" s="7">
        <f>IF(OR(G276="",G276=0), "", IFERROR(I276/G276, ""))</f>
        <v/>
      </c>
      <c r="K275" s="6" t="n"/>
      <c r="L275" s="3" t="n"/>
    </row>
    <row r="276" ht="20.1" customHeight="1">
      <c r="A276" s="1" t="n"/>
      <c r="B276" s="2" t="n"/>
      <c r="C276" s="2" t="n"/>
      <c r="D276" s="3" t="n"/>
      <c r="E276" s="4">
        <f>IFERROR(VALUE(LEFT(D277,FIND(" - ",D277)-1)), "")</f>
        <v/>
      </c>
      <c r="F276" s="5">
        <f>IFERROR(VLOOKUP(E277,Product_Master!A:D,4,FALSE)&amp;"", "")</f>
        <v/>
      </c>
      <c r="G276" s="6" t="n"/>
      <c r="H276" s="6" t="n"/>
      <c r="I276" s="6" t="n"/>
      <c r="J276" s="7">
        <f>IF(OR(G277="",G277=0), "", IFERROR(I277/G277, ""))</f>
        <v/>
      </c>
      <c r="K276" s="6" t="n"/>
      <c r="L276" s="3" t="n"/>
    </row>
    <row r="277" ht="20.1" customHeight="1">
      <c r="A277" s="1" t="n"/>
      <c r="B277" s="2" t="n"/>
      <c r="C277" s="2" t="n"/>
      <c r="D277" s="3" t="n"/>
      <c r="E277" s="4">
        <f>IFERROR(VALUE(LEFT(D278,FIND(" - ",D278)-1)), "")</f>
        <v/>
      </c>
      <c r="F277" s="5">
        <f>IFERROR(VLOOKUP(E278,Product_Master!A:D,4,FALSE)&amp;"", "")</f>
        <v/>
      </c>
      <c r="G277" s="6" t="n"/>
      <c r="H277" s="6" t="n"/>
      <c r="I277" s="6" t="n"/>
      <c r="J277" s="7">
        <f>IF(OR(G278="",G278=0), "", IFERROR(I278/G278, ""))</f>
        <v/>
      </c>
      <c r="K277" s="6" t="n"/>
      <c r="L277" s="3" t="n"/>
    </row>
    <row r="278" ht="20.1" customHeight="1">
      <c r="A278" s="1" t="n"/>
      <c r="B278" s="2" t="n"/>
      <c r="C278" s="2" t="n"/>
      <c r="D278" s="3" t="n"/>
      <c r="E278" s="4">
        <f>IFERROR(VALUE(LEFT(D279,FIND(" - ",D279)-1)), "")</f>
        <v/>
      </c>
      <c r="F278" s="5">
        <f>IFERROR(VLOOKUP(E279,Product_Master!A:D,4,FALSE)&amp;"", "")</f>
        <v/>
      </c>
      <c r="G278" s="6" t="n"/>
      <c r="H278" s="6" t="n"/>
      <c r="I278" s="6" t="n"/>
      <c r="J278" s="7">
        <f>IF(OR(G279="",G279=0), "", IFERROR(I279/G279, ""))</f>
        <v/>
      </c>
      <c r="K278" s="6" t="n"/>
      <c r="L278" s="3" t="n"/>
    </row>
    <row r="279" ht="20.1" customHeight="1">
      <c r="A279" s="1" t="n"/>
      <c r="B279" s="2" t="n"/>
      <c r="C279" s="2" t="n"/>
      <c r="D279" s="3" t="n"/>
      <c r="E279" s="4">
        <f>IFERROR(VALUE(LEFT(D280,FIND(" - ",D280)-1)), "")</f>
        <v/>
      </c>
      <c r="F279" s="5">
        <f>IFERROR(VLOOKUP(E280,Product_Master!A:D,4,FALSE)&amp;"", "")</f>
        <v/>
      </c>
      <c r="G279" s="6" t="n"/>
      <c r="H279" s="6" t="n"/>
      <c r="I279" s="6" t="n"/>
      <c r="J279" s="7">
        <f>IF(OR(G280="",G280=0), "", IFERROR(I280/G280, ""))</f>
        <v/>
      </c>
      <c r="K279" s="6" t="n"/>
      <c r="L279" s="3" t="n"/>
    </row>
    <row r="280" ht="20.1" customHeight="1">
      <c r="A280" s="1" t="n"/>
      <c r="B280" s="2" t="n"/>
      <c r="C280" s="2" t="n"/>
      <c r="D280" s="3" t="n"/>
      <c r="E280" s="4">
        <f>IFERROR(VALUE(LEFT(D281,FIND(" - ",D281)-1)), "")</f>
        <v/>
      </c>
      <c r="F280" s="5">
        <f>IFERROR(VLOOKUP(E281,Product_Master!A:D,4,FALSE)&amp;"", "")</f>
        <v/>
      </c>
      <c r="G280" s="6" t="n"/>
      <c r="H280" s="6" t="n"/>
      <c r="I280" s="6" t="n"/>
      <c r="J280" s="7">
        <f>IF(OR(G281="",G281=0), "", IFERROR(I281/G281, ""))</f>
        <v/>
      </c>
      <c r="K280" s="6" t="n"/>
      <c r="L280" s="3" t="n"/>
    </row>
    <row r="281" ht="20.1" customHeight="1">
      <c r="A281" s="1" t="n"/>
      <c r="B281" s="2" t="n"/>
      <c r="C281" s="2" t="n"/>
      <c r="D281" s="3" t="n"/>
      <c r="E281" s="4">
        <f>IFERROR(VALUE(LEFT(D282,FIND(" - ",D282)-1)), "")</f>
        <v/>
      </c>
      <c r="F281" s="5">
        <f>IFERROR(VLOOKUP(E282,Product_Master!A:D,4,FALSE)&amp;"", "")</f>
        <v/>
      </c>
      <c r="G281" s="6" t="n"/>
      <c r="H281" s="6" t="n"/>
      <c r="I281" s="6" t="n"/>
      <c r="J281" s="7">
        <f>IF(OR(G282="",G282=0), "", IFERROR(I282/G282, ""))</f>
        <v/>
      </c>
      <c r="K281" s="6" t="n"/>
      <c r="L281" s="3" t="n"/>
    </row>
    <row r="282" ht="20.1" customHeight="1">
      <c r="A282" s="1" t="n"/>
      <c r="B282" s="2" t="n"/>
      <c r="C282" s="2" t="n"/>
      <c r="D282" s="3" t="n"/>
      <c r="E282" s="4">
        <f>IFERROR(VALUE(LEFT(D283,FIND(" - ",D283)-1)), "")</f>
        <v/>
      </c>
      <c r="F282" s="5">
        <f>IFERROR(VLOOKUP(E283,Product_Master!A:D,4,FALSE)&amp;"", "")</f>
        <v/>
      </c>
      <c r="G282" s="6" t="n"/>
      <c r="H282" s="6" t="n"/>
      <c r="I282" s="6" t="n"/>
      <c r="J282" s="7">
        <f>IF(OR(G283="",G283=0), "", IFERROR(I283/G283, ""))</f>
        <v/>
      </c>
      <c r="K282" s="6" t="n"/>
      <c r="L282" s="3" t="n"/>
    </row>
    <row r="283" ht="20.1" customHeight="1">
      <c r="A283" s="1" t="n"/>
      <c r="B283" s="2" t="n"/>
      <c r="C283" s="2" t="n"/>
      <c r="D283" s="3" t="n"/>
      <c r="E283" s="4">
        <f>IFERROR(VALUE(LEFT(D284,FIND(" - ",D284)-1)), "")</f>
        <v/>
      </c>
      <c r="F283" s="5">
        <f>IFERROR(VLOOKUP(E284,Product_Master!A:D,4,FALSE)&amp;"", "")</f>
        <v/>
      </c>
      <c r="G283" s="6" t="n"/>
      <c r="H283" s="6" t="n"/>
      <c r="I283" s="6" t="n"/>
      <c r="J283" s="7">
        <f>IF(OR(G284="",G284=0), "", IFERROR(I284/G284, ""))</f>
        <v/>
      </c>
      <c r="K283" s="6" t="n"/>
      <c r="L283" s="3" t="n"/>
    </row>
    <row r="284" ht="20.1" customHeight="1">
      <c r="A284" s="1" t="n"/>
      <c r="B284" s="2" t="n"/>
      <c r="C284" s="2" t="n"/>
      <c r="D284" s="3" t="n"/>
      <c r="E284" s="4">
        <f>IFERROR(VALUE(LEFT(D285,FIND(" - ",D285)-1)), "")</f>
        <v/>
      </c>
      <c r="F284" s="5">
        <f>IFERROR(VLOOKUP(E285,Product_Master!A:D,4,FALSE)&amp;"", "")</f>
        <v/>
      </c>
      <c r="G284" s="6" t="n"/>
      <c r="H284" s="6" t="n"/>
      <c r="I284" s="6" t="n"/>
      <c r="J284" s="7">
        <f>IF(OR(G285="",G285=0), "", IFERROR(I285/G285, ""))</f>
        <v/>
      </c>
      <c r="K284" s="6" t="n"/>
      <c r="L284" s="3" t="n"/>
    </row>
    <row r="285" ht="20.1" customHeight="1">
      <c r="A285" s="1" t="n"/>
      <c r="B285" s="2" t="n"/>
      <c r="C285" s="2" t="n"/>
      <c r="D285" s="3" t="n"/>
      <c r="E285" s="4">
        <f>IFERROR(VALUE(LEFT(D286,FIND(" - ",D286)-1)), "")</f>
        <v/>
      </c>
      <c r="F285" s="5">
        <f>IFERROR(VLOOKUP(E286,Product_Master!A:D,4,FALSE)&amp;"", "")</f>
        <v/>
      </c>
      <c r="G285" s="6" t="n"/>
      <c r="H285" s="6" t="n"/>
      <c r="I285" s="6" t="n"/>
      <c r="J285" s="7">
        <f>IF(OR(G286="",G286=0), "", IFERROR(I286/G286, ""))</f>
        <v/>
      </c>
      <c r="K285" s="6" t="n"/>
      <c r="L285" s="3" t="n"/>
    </row>
    <row r="286" ht="20.1" customHeight="1">
      <c r="A286" s="1" t="n"/>
      <c r="B286" s="2" t="n"/>
      <c r="C286" s="2" t="n"/>
      <c r="D286" s="3" t="n"/>
      <c r="E286" s="4">
        <f>IFERROR(VALUE(LEFT(D287,FIND(" - ",D287)-1)), "")</f>
        <v/>
      </c>
      <c r="F286" s="5">
        <f>IFERROR(VLOOKUP(E287,Product_Master!A:D,4,FALSE)&amp;"", "")</f>
        <v/>
      </c>
      <c r="G286" s="6" t="n"/>
      <c r="H286" s="6" t="n"/>
      <c r="I286" s="6" t="n"/>
      <c r="J286" s="7">
        <f>IF(OR(G287="",G287=0), "", IFERROR(I287/G287, ""))</f>
        <v/>
      </c>
      <c r="K286" s="6" t="n"/>
      <c r="L286" s="3" t="n"/>
    </row>
    <row r="287" ht="20.1" customHeight="1">
      <c r="A287" s="1" t="n"/>
      <c r="B287" s="2" t="n"/>
      <c r="C287" s="2" t="n"/>
      <c r="D287" s="3" t="n"/>
      <c r="E287" s="4">
        <f>IFERROR(VALUE(LEFT(D288,FIND(" - ",D288)-1)), "")</f>
        <v/>
      </c>
      <c r="F287" s="5">
        <f>IFERROR(VLOOKUP(E288,Product_Master!A:D,4,FALSE)&amp;"", "")</f>
        <v/>
      </c>
      <c r="G287" s="6" t="n"/>
      <c r="H287" s="6" t="n"/>
      <c r="I287" s="6" t="n"/>
      <c r="J287" s="7">
        <f>IF(OR(G288="",G288=0), "", IFERROR(I288/G288, ""))</f>
        <v/>
      </c>
      <c r="K287" s="6" t="n"/>
      <c r="L287" s="3" t="n"/>
    </row>
    <row r="288" ht="20.1" customHeight="1">
      <c r="A288" s="1" t="n"/>
      <c r="B288" s="2" t="n"/>
      <c r="C288" s="2" t="n"/>
      <c r="D288" s="3" t="n"/>
      <c r="E288" s="4">
        <f>IFERROR(VALUE(LEFT(D289,FIND(" - ",D289)-1)), "")</f>
        <v/>
      </c>
      <c r="F288" s="5">
        <f>IFERROR(VLOOKUP(E289,Product_Master!A:D,4,FALSE)&amp;"", "")</f>
        <v/>
      </c>
      <c r="G288" s="6" t="n"/>
      <c r="H288" s="6" t="n"/>
      <c r="I288" s="6" t="n"/>
      <c r="J288" s="7">
        <f>IF(OR(G289="",G289=0), "", IFERROR(I289/G289, ""))</f>
        <v/>
      </c>
      <c r="K288" s="6" t="n"/>
      <c r="L288" s="3" t="n"/>
    </row>
    <row r="289" ht="20.1" customHeight="1">
      <c r="A289" s="1" t="n"/>
      <c r="B289" s="2" t="n"/>
      <c r="C289" s="2" t="n"/>
      <c r="D289" s="3" t="n"/>
      <c r="E289" s="4">
        <f>IFERROR(VALUE(LEFT(D290,FIND(" - ",D290)-1)), "")</f>
        <v/>
      </c>
      <c r="F289" s="5">
        <f>IFERROR(VLOOKUP(E290,Product_Master!A:D,4,FALSE)&amp;"", "")</f>
        <v/>
      </c>
      <c r="G289" s="6" t="n"/>
      <c r="H289" s="6" t="n"/>
      <c r="I289" s="6" t="n"/>
      <c r="J289" s="7">
        <f>IF(OR(G290="",G290=0), "", IFERROR(I290/G290, ""))</f>
        <v/>
      </c>
      <c r="K289" s="6" t="n"/>
      <c r="L289" s="3" t="n"/>
    </row>
    <row r="290" ht="20.1" customHeight="1">
      <c r="A290" s="1" t="n"/>
      <c r="B290" s="2" t="n"/>
      <c r="C290" s="2" t="n"/>
      <c r="D290" s="3" t="n"/>
      <c r="E290" s="4">
        <f>IFERROR(VALUE(LEFT(D291,FIND(" - ",D291)-1)), "")</f>
        <v/>
      </c>
      <c r="F290" s="5">
        <f>IFERROR(VLOOKUP(E291,Product_Master!A:D,4,FALSE)&amp;"", "")</f>
        <v/>
      </c>
      <c r="G290" s="6" t="n"/>
      <c r="H290" s="6" t="n"/>
      <c r="I290" s="6" t="n"/>
      <c r="J290" s="7">
        <f>IF(OR(G291="",G291=0), "", IFERROR(I291/G291, ""))</f>
        <v/>
      </c>
      <c r="K290" s="6" t="n"/>
      <c r="L290" s="3" t="n"/>
    </row>
    <row r="291" ht="20.1" customHeight="1">
      <c r="A291" s="1" t="n"/>
      <c r="B291" s="2" t="n"/>
      <c r="C291" s="2" t="n"/>
      <c r="D291" s="3" t="n"/>
      <c r="E291" s="4">
        <f>IFERROR(VALUE(LEFT(D292,FIND(" - ",D292)-1)), "")</f>
        <v/>
      </c>
      <c r="F291" s="5">
        <f>IFERROR(VLOOKUP(E292,Product_Master!A:D,4,FALSE)&amp;"", "")</f>
        <v/>
      </c>
      <c r="G291" s="6" t="n"/>
      <c r="H291" s="6" t="n"/>
      <c r="I291" s="6" t="n"/>
      <c r="J291" s="7">
        <f>IF(OR(G292="",G292=0), "", IFERROR(I292/G292, ""))</f>
        <v/>
      </c>
      <c r="K291" s="6" t="n"/>
      <c r="L291" s="3" t="n"/>
    </row>
    <row r="292" ht="20.1" customHeight="1">
      <c r="A292" s="1" t="n"/>
      <c r="B292" s="2" t="n"/>
      <c r="C292" s="2" t="n"/>
      <c r="D292" s="3" t="n"/>
      <c r="E292" s="4">
        <f>IFERROR(VALUE(LEFT(D293,FIND(" - ",D293)-1)), "")</f>
        <v/>
      </c>
      <c r="F292" s="5">
        <f>IFERROR(VLOOKUP(E293,Product_Master!A:D,4,FALSE)&amp;"", "")</f>
        <v/>
      </c>
      <c r="G292" s="6" t="n"/>
      <c r="H292" s="6" t="n"/>
      <c r="I292" s="6" t="n"/>
      <c r="J292" s="7">
        <f>IF(OR(G293="",G293=0), "", IFERROR(I293/G293, ""))</f>
        <v/>
      </c>
      <c r="K292" s="6" t="n"/>
      <c r="L292" s="3" t="n"/>
    </row>
    <row r="293" ht="20.1" customHeight="1">
      <c r="A293" s="1" t="n"/>
      <c r="B293" s="2" t="n"/>
      <c r="C293" s="2" t="n"/>
      <c r="D293" s="3" t="n"/>
      <c r="E293" s="4">
        <f>IFERROR(VALUE(LEFT(D294,FIND(" - ",D294)-1)), "")</f>
        <v/>
      </c>
      <c r="F293" s="5">
        <f>IFERROR(VLOOKUP(E294,Product_Master!A:D,4,FALSE)&amp;"", "")</f>
        <v/>
      </c>
      <c r="G293" s="6" t="n"/>
      <c r="H293" s="6" t="n"/>
      <c r="I293" s="6" t="n"/>
      <c r="J293" s="7">
        <f>IF(OR(G294="",G294=0), "", IFERROR(I294/G294, ""))</f>
        <v/>
      </c>
      <c r="K293" s="6" t="n"/>
      <c r="L293" s="3" t="n"/>
    </row>
    <row r="294" ht="20.1" customHeight="1">
      <c r="A294" s="1" t="n"/>
      <c r="B294" s="2" t="n"/>
      <c r="C294" s="2" t="n"/>
      <c r="D294" s="3" t="n"/>
      <c r="E294" s="4">
        <f>IFERROR(VALUE(LEFT(D295,FIND(" - ",D295)-1)), "")</f>
        <v/>
      </c>
      <c r="F294" s="5">
        <f>IFERROR(VLOOKUP(E295,Product_Master!A:D,4,FALSE)&amp;"", "")</f>
        <v/>
      </c>
      <c r="G294" s="6" t="n"/>
      <c r="H294" s="6" t="n"/>
      <c r="I294" s="6" t="n"/>
      <c r="J294" s="7">
        <f>IF(OR(G295="",G295=0), "", IFERROR(I295/G295, ""))</f>
        <v/>
      </c>
      <c r="K294" s="6" t="n"/>
      <c r="L294" s="3" t="n"/>
    </row>
    <row r="295" ht="20.1" customHeight="1">
      <c r="A295" s="1" t="n"/>
      <c r="B295" s="2" t="n"/>
      <c r="C295" s="2" t="n"/>
      <c r="D295" s="3" t="n"/>
      <c r="E295" s="4">
        <f>IFERROR(VALUE(LEFT(D296,FIND(" - ",D296)-1)), "")</f>
        <v/>
      </c>
      <c r="F295" s="5">
        <f>IFERROR(VLOOKUP(E296,Product_Master!A:D,4,FALSE)&amp;"", "")</f>
        <v/>
      </c>
      <c r="G295" s="6" t="n"/>
      <c r="H295" s="6" t="n"/>
      <c r="I295" s="6" t="n"/>
      <c r="J295" s="7">
        <f>IF(OR(G296="",G296=0), "", IFERROR(I296/G296, ""))</f>
        <v/>
      </c>
      <c r="K295" s="6" t="n"/>
      <c r="L295" s="3" t="n"/>
    </row>
    <row r="296" ht="20.1" customHeight="1">
      <c r="A296" s="1" t="n"/>
      <c r="B296" s="2" t="n"/>
      <c r="C296" s="2" t="n"/>
      <c r="D296" s="3" t="n"/>
      <c r="E296" s="4">
        <f>IFERROR(VALUE(LEFT(D297,FIND(" - ",D297)-1)), "")</f>
        <v/>
      </c>
      <c r="F296" s="5">
        <f>IFERROR(VLOOKUP(E297,Product_Master!A:D,4,FALSE)&amp;"", "")</f>
        <v/>
      </c>
      <c r="G296" s="6" t="n"/>
      <c r="H296" s="6" t="n"/>
      <c r="I296" s="6" t="n"/>
      <c r="J296" s="7">
        <f>IF(OR(G297="",G297=0), "", IFERROR(I297/G297, ""))</f>
        <v/>
      </c>
      <c r="K296" s="6" t="n"/>
      <c r="L296" s="3" t="n"/>
    </row>
    <row r="297" ht="20.1" customHeight="1">
      <c r="A297" s="1" t="n"/>
      <c r="B297" s="2" t="n"/>
      <c r="C297" s="2" t="n"/>
      <c r="D297" s="3" t="n"/>
      <c r="E297" s="4">
        <f>IFERROR(VALUE(LEFT(D298,FIND(" - ",D298)-1)), "")</f>
        <v/>
      </c>
      <c r="F297" s="5">
        <f>IFERROR(VLOOKUP(E298,Product_Master!A:D,4,FALSE)&amp;"", "")</f>
        <v/>
      </c>
      <c r="G297" s="6" t="n"/>
      <c r="H297" s="6" t="n"/>
      <c r="I297" s="6" t="n"/>
      <c r="J297" s="7">
        <f>IF(OR(G298="",G298=0), "", IFERROR(I298/G298, ""))</f>
        <v/>
      </c>
      <c r="K297" s="6" t="n"/>
      <c r="L297" s="3" t="n"/>
    </row>
    <row r="298" ht="20.1" customHeight="1">
      <c r="A298" s="1" t="n"/>
      <c r="B298" s="2" t="n"/>
      <c r="C298" s="2" t="n"/>
      <c r="D298" s="3" t="n"/>
      <c r="E298" s="4">
        <f>IFERROR(VALUE(LEFT(D299,FIND(" - ",D299)-1)), "")</f>
        <v/>
      </c>
      <c r="F298" s="5">
        <f>IFERROR(VLOOKUP(E299,Product_Master!A:D,4,FALSE)&amp;"", "")</f>
        <v/>
      </c>
      <c r="G298" s="6" t="n"/>
      <c r="H298" s="6" t="n"/>
      <c r="I298" s="6" t="n"/>
      <c r="J298" s="7">
        <f>IF(OR(G299="",G299=0), "", IFERROR(I299/G299, ""))</f>
        <v/>
      </c>
      <c r="K298" s="6" t="n"/>
      <c r="L298" s="3" t="n"/>
    </row>
    <row r="299" ht="20.1" customHeight="1">
      <c r="A299" s="1" t="n"/>
      <c r="B299" s="2" t="n"/>
      <c r="C299" s="2" t="n"/>
      <c r="D299" s="3" t="n"/>
      <c r="E299" s="4">
        <f>IFERROR(VALUE(LEFT(D300,FIND(" - ",D300)-1)), "")</f>
        <v/>
      </c>
      <c r="F299" s="5">
        <f>IFERROR(VLOOKUP(E300,Product_Master!A:D,4,FALSE)&amp;"", "")</f>
        <v/>
      </c>
      <c r="G299" s="6" t="n"/>
      <c r="H299" s="6" t="n"/>
      <c r="I299" s="6" t="n"/>
      <c r="J299" s="7">
        <f>IF(OR(G300="",G300=0), "", IFERROR(I300/G300, ""))</f>
        <v/>
      </c>
      <c r="K299" s="6" t="n"/>
      <c r="L299" s="3" t="n"/>
    </row>
    <row r="300" ht="20.1" customHeight="1">
      <c r="A300" s="1" t="n"/>
      <c r="B300" s="2" t="n"/>
      <c r="C300" s="2" t="n"/>
      <c r="D300" s="3" t="n"/>
      <c r="E300" s="4">
        <f>IFERROR(VALUE(LEFT(D301,FIND(" - ",D301)-1)), "")</f>
        <v/>
      </c>
      <c r="F300" s="5">
        <f>IFERROR(VLOOKUP(E301,Product_Master!A:D,4,FALSE)&amp;"", "")</f>
        <v/>
      </c>
      <c r="G300" s="6" t="n"/>
      <c r="H300" s="6" t="n"/>
      <c r="I300" s="6" t="n"/>
      <c r="J300" s="7">
        <f>IF(OR(G301="",G301=0), "", IFERROR(I301/G301, ""))</f>
        <v/>
      </c>
      <c r="K300" s="6" t="n"/>
      <c r="L300" s="3" t="n"/>
    </row>
    <row r="301" ht="20.1" customHeight="1">
      <c r="A301" s="1" t="n"/>
      <c r="B301" s="2" t="n"/>
      <c r="C301" s="2" t="n"/>
      <c r="D301" s="3" t="n"/>
      <c r="E301" s="4">
        <f>IFERROR(VALUE(LEFT(D302,FIND(" - ",D302)-1)), "")</f>
        <v/>
      </c>
      <c r="F301" s="5">
        <f>IFERROR(VLOOKUP(E302,Product_Master!A:D,4,FALSE)&amp;"", "")</f>
        <v/>
      </c>
      <c r="G301" s="6" t="n"/>
      <c r="H301" s="6" t="n"/>
      <c r="I301" s="6" t="n"/>
      <c r="J301" s="7">
        <f>IF(OR(G302="",G302=0), "", IFERROR(I302/G302, ""))</f>
        <v/>
      </c>
      <c r="K301" s="6" t="n"/>
      <c r="L301" s="3" t="n"/>
    </row>
    <row r="302" ht="20.1" customHeight="1">
      <c r="A302" s="1" t="n"/>
      <c r="B302" s="2" t="n"/>
      <c r="C302" s="2" t="n"/>
      <c r="D302" s="3" t="n"/>
      <c r="E302" s="4">
        <f>IFERROR(VALUE(LEFT(D303,FIND(" - ",D303)-1)), "")</f>
        <v/>
      </c>
      <c r="F302" s="5">
        <f>IFERROR(VLOOKUP(E303,Product_Master!A:D,4,FALSE)&amp;"", "")</f>
        <v/>
      </c>
      <c r="G302" s="6" t="n"/>
      <c r="H302" s="6" t="n"/>
      <c r="I302" s="6" t="n"/>
      <c r="J302" s="7">
        <f>IF(OR(G303="",G303=0), "", IFERROR(I303/G303, ""))</f>
        <v/>
      </c>
      <c r="K302" s="6" t="n"/>
      <c r="L302" s="3" t="n"/>
    </row>
    <row r="303" ht="20.1" customHeight="1">
      <c r="A303" s="1" t="n"/>
      <c r="B303" s="2" t="n"/>
      <c r="C303" s="2" t="n"/>
      <c r="D303" s="3" t="n"/>
      <c r="E303" s="4">
        <f>IFERROR(VALUE(LEFT(D304,FIND(" - ",D304)-1)), "")</f>
        <v/>
      </c>
      <c r="F303" s="5">
        <f>IFERROR(VLOOKUP(E304,Product_Master!A:D,4,FALSE)&amp;"", "")</f>
        <v/>
      </c>
      <c r="G303" s="6" t="n"/>
      <c r="H303" s="6" t="n"/>
      <c r="I303" s="6" t="n"/>
      <c r="J303" s="7">
        <f>IF(OR(G304="",G304=0), "", IFERROR(I304/G304, ""))</f>
        <v/>
      </c>
      <c r="K303" s="6" t="n"/>
      <c r="L303" s="3" t="n"/>
    </row>
    <row r="304" ht="20.1" customHeight="1">
      <c r="A304" s="1" t="n"/>
      <c r="B304" s="2" t="n"/>
      <c r="C304" s="2" t="n"/>
      <c r="D304" s="3" t="n"/>
      <c r="E304" s="4">
        <f>IFERROR(VALUE(LEFT(D305,FIND(" - ",D305)-1)), "")</f>
        <v/>
      </c>
      <c r="F304" s="5">
        <f>IFERROR(VLOOKUP(E305,Product_Master!A:D,4,FALSE)&amp;"", "")</f>
        <v/>
      </c>
      <c r="G304" s="6" t="n"/>
      <c r="H304" s="6" t="n"/>
      <c r="I304" s="6" t="n"/>
      <c r="J304" s="7">
        <f>IF(OR(G305="",G305=0), "", IFERROR(I305/G305, ""))</f>
        <v/>
      </c>
      <c r="K304" s="6" t="n"/>
      <c r="L304" s="3" t="n"/>
    </row>
    <row r="305" ht="20.1" customHeight="1">
      <c r="A305" s="1" t="n"/>
      <c r="B305" s="2" t="n"/>
      <c r="C305" s="2" t="n"/>
      <c r="D305" s="3" t="n"/>
      <c r="E305" s="4">
        <f>IFERROR(VALUE(LEFT(D306,FIND(" - ",D306)-1)), "")</f>
        <v/>
      </c>
      <c r="F305" s="5">
        <f>IFERROR(VLOOKUP(E306,Product_Master!A:D,4,FALSE)&amp;"", "")</f>
        <v/>
      </c>
      <c r="G305" s="6" t="n"/>
      <c r="H305" s="6" t="n"/>
      <c r="I305" s="6" t="n"/>
      <c r="J305" s="7">
        <f>IF(OR(G306="",G306=0), "", IFERROR(I306/G306, ""))</f>
        <v/>
      </c>
      <c r="K305" s="6" t="n"/>
      <c r="L305" s="3" t="n"/>
    </row>
    <row r="306" ht="20.1" customHeight="1">
      <c r="A306" s="1" t="n"/>
      <c r="B306" s="2" t="n"/>
      <c r="C306" s="2" t="n"/>
      <c r="D306" s="3" t="n"/>
      <c r="E306" s="4">
        <f>IFERROR(VALUE(LEFT(D307,FIND(" - ",D307)-1)), "")</f>
        <v/>
      </c>
      <c r="F306" s="5">
        <f>IFERROR(VLOOKUP(E307,Product_Master!A:D,4,FALSE)&amp;"", "")</f>
        <v/>
      </c>
      <c r="G306" s="6" t="n"/>
      <c r="H306" s="6" t="n"/>
      <c r="I306" s="6" t="n"/>
      <c r="J306" s="7">
        <f>IF(OR(G307="",G307=0), "", IFERROR(I307/G307, ""))</f>
        <v/>
      </c>
      <c r="K306" s="6" t="n"/>
      <c r="L306" s="3" t="n"/>
    </row>
    <row r="307" ht="20.1" customHeight="1">
      <c r="A307" s="1" t="n"/>
      <c r="B307" s="2" t="n"/>
      <c r="C307" s="2" t="n"/>
      <c r="D307" s="3" t="n"/>
      <c r="E307" s="4">
        <f>IFERROR(VALUE(LEFT(D308,FIND(" - ",D308)-1)), "")</f>
        <v/>
      </c>
      <c r="F307" s="5">
        <f>IFERROR(VLOOKUP(E308,Product_Master!A:D,4,FALSE)&amp;"", "")</f>
        <v/>
      </c>
      <c r="G307" s="6" t="n"/>
      <c r="H307" s="6" t="n"/>
      <c r="I307" s="6" t="n"/>
      <c r="J307" s="7">
        <f>IF(OR(G308="",G308=0), "", IFERROR(I308/G308, ""))</f>
        <v/>
      </c>
      <c r="K307" s="6" t="n"/>
      <c r="L307" s="3" t="n"/>
    </row>
    <row r="308" ht="20.1" customHeight="1">
      <c r="A308" s="1" t="n"/>
      <c r="B308" s="2" t="n"/>
      <c r="C308" s="2" t="n"/>
      <c r="D308" s="3" t="n"/>
      <c r="E308" s="4">
        <f>IFERROR(VALUE(LEFT(D309,FIND(" - ",D309)-1)), "")</f>
        <v/>
      </c>
      <c r="F308" s="5">
        <f>IFERROR(VLOOKUP(E309,Product_Master!A:D,4,FALSE)&amp;"", "")</f>
        <v/>
      </c>
      <c r="G308" s="6" t="n"/>
      <c r="H308" s="6" t="n"/>
      <c r="I308" s="6" t="n"/>
      <c r="J308" s="7">
        <f>IF(OR(G309="",G309=0), "", IFERROR(I309/G309, ""))</f>
        <v/>
      </c>
      <c r="K308" s="6" t="n"/>
      <c r="L308" s="3" t="n"/>
    </row>
    <row r="309" ht="20.1" customHeight="1">
      <c r="A309" s="1" t="n"/>
      <c r="B309" s="2" t="n"/>
      <c r="C309" s="2" t="n"/>
      <c r="D309" s="3" t="n"/>
      <c r="E309" s="4">
        <f>IFERROR(VALUE(LEFT(D310,FIND(" - ",D310)-1)), "")</f>
        <v/>
      </c>
      <c r="F309" s="5">
        <f>IFERROR(VLOOKUP(E310,Product_Master!A:D,4,FALSE)&amp;"", "")</f>
        <v/>
      </c>
      <c r="G309" s="6" t="n"/>
      <c r="H309" s="6" t="n"/>
      <c r="I309" s="6" t="n"/>
      <c r="J309" s="7">
        <f>IF(OR(G310="",G310=0), "", IFERROR(I310/G310, ""))</f>
        <v/>
      </c>
      <c r="K309" s="6" t="n"/>
      <c r="L309" s="3" t="n"/>
    </row>
    <row r="310" ht="20.1" customHeight="1">
      <c r="A310" s="1" t="n"/>
      <c r="B310" s="2" t="n"/>
      <c r="C310" s="2" t="n"/>
      <c r="D310" s="3" t="n"/>
      <c r="E310" s="4">
        <f>IFERROR(VALUE(LEFT(D311,FIND(" - ",D311)-1)), "")</f>
        <v/>
      </c>
      <c r="F310" s="5">
        <f>IFERROR(VLOOKUP(E311,Product_Master!A:D,4,FALSE)&amp;"", "")</f>
        <v/>
      </c>
      <c r="G310" s="6" t="n"/>
      <c r="H310" s="6" t="n"/>
      <c r="I310" s="6" t="n"/>
      <c r="J310" s="7">
        <f>IF(OR(G311="",G311=0), "", IFERROR(I311/G311, ""))</f>
        <v/>
      </c>
      <c r="K310" s="6" t="n"/>
      <c r="L310" s="3" t="n"/>
    </row>
    <row r="311" ht="20.1" customHeight="1">
      <c r="A311" s="1" t="n"/>
      <c r="B311" s="2" t="n"/>
      <c r="C311" s="2" t="n"/>
      <c r="D311" s="3" t="n"/>
      <c r="E311" s="4">
        <f>IFERROR(VALUE(LEFT(D312,FIND(" - ",D312)-1)), "")</f>
        <v/>
      </c>
      <c r="F311" s="5">
        <f>IFERROR(VLOOKUP(E312,Product_Master!A:D,4,FALSE)&amp;"", "")</f>
        <v/>
      </c>
      <c r="G311" s="6" t="n"/>
      <c r="H311" s="6" t="n"/>
      <c r="I311" s="6" t="n"/>
      <c r="J311" s="7">
        <f>IF(OR(G312="",G312=0), "", IFERROR(I312/G312, ""))</f>
        <v/>
      </c>
      <c r="K311" s="6" t="n"/>
      <c r="L311" s="3" t="n"/>
    </row>
    <row r="312" ht="20.1" customHeight="1">
      <c r="A312" s="1" t="n"/>
      <c r="B312" s="2" t="n"/>
      <c r="C312" s="2" t="n"/>
      <c r="D312" s="3" t="n"/>
      <c r="E312" s="4">
        <f>IFERROR(VALUE(LEFT(D313,FIND(" - ",D313)-1)), "")</f>
        <v/>
      </c>
      <c r="F312" s="5">
        <f>IFERROR(VLOOKUP(E313,Product_Master!A:D,4,FALSE)&amp;"", "")</f>
        <v/>
      </c>
      <c r="G312" s="6" t="n"/>
      <c r="H312" s="6" t="n"/>
      <c r="I312" s="6" t="n"/>
      <c r="J312" s="7">
        <f>IF(OR(G313="",G313=0), "", IFERROR(I313/G313, ""))</f>
        <v/>
      </c>
      <c r="K312" s="6" t="n"/>
      <c r="L312" s="3" t="n"/>
    </row>
    <row r="313" ht="20.1" customHeight="1">
      <c r="A313" s="1" t="n"/>
      <c r="B313" s="2" t="n"/>
      <c r="C313" s="2" t="n"/>
      <c r="D313" s="3" t="n"/>
      <c r="E313" s="4">
        <f>IFERROR(VALUE(LEFT(D314,FIND(" - ",D314)-1)), "")</f>
        <v/>
      </c>
      <c r="F313" s="5">
        <f>IFERROR(VLOOKUP(E314,Product_Master!A:D,4,FALSE)&amp;"", "")</f>
        <v/>
      </c>
      <c r="G313" s="6" t="n"/>
      <c r="H313" s="6" t="n"/>
      <c r="I313" s="6" t="n"/>
      <c r="J313" s="7">
        <f>IF(OR(G314="",G314=0), "", IFERROR(I314/G314, ""))</f>
        <v/>
      </c>
      <c r="K313" s="6" t="n"/>
      <c r="L313" s="3" t="n"/>
    </row>
    <row r="314" ht="20.1" customHeight="1">
      <c r="A314" s="1" t="n"/>
      <c r="B314" s="2" t="n"/>
      <c r="C314" s="2" t="n"/>
      <c r="D314" s="3" t="n"/>
      <c r="E314" s="4">
        <f>IFERROR(VALUE(LEFT(D315,FIND(" - ",D315)-1)), "")</f>
        <v/>
      </c>
      <c r="F314" s="5">
        <f>IFERROR(VLOOKUP(E315,Product_Master!A:D,4,FALSE)&amp;"", "")</f>
        <v/>
      </c>
      <c r="G314" s="6" t="n"/>
      <c r="H314" s="6" t="n"/>
      <c r="I314" s="6" t="n"/>
      <c r="J314" s="7">
        <f>IF(OR(G315="",G315=0), "", IFERROR(I315/G315, ""))</f>
        <v/>
      </c>
      <c r="K314" s="6" t="n"/>
      <c r="L314" s="3" t="n"/>
    </row>
    <row r="315" ht="20.1" customHeight="1">
      <c r="A315" s="1" t="n"/>
      <c r="B315" s="2" t="n"/>
      <c r="C315" s="2" t="n"/>
      <c r="D315" s="3" t="n"/>
      <c r="E315" s="4">
        <f>IFERROR(VALUE(LEFT(D316,FIND(" - ",D316)-1)), "")</f>
        <v/>
      </c>
      <c r="F315" s="5">
        <f>IFERROR(VLOOKUP(E316,Product_Master!A:D,4,FALSE)&amp;"", "")</f>
        <v/>
      </c>
      <c r="G315" s="6" t="n"/>
      <c r="H315" s="6" t="n"/>
      <c r="I315" s="6" t="n"/>
      <c r="J315" s="7">
        <f>IF(OR(G316="",G316=0), "", IFERROR(I316/G316, ""))</f>
        <v/>
      </c>
      <c r="K315" s="6" t="n"/>
      <c r="L315" s="3" t="n"/>
    </row>
    <row r="316" ht="20.1" customHeight="1">
      <c r="A316" s="1" t="n"/>
      <c r="B316" s="2" t="n"/>
      <c r="C316" s="2" t="n"/>
      <c r="D316" s="3" t="n"/>
      <c r="E316" s="4">
        <f>IFERROR(VALUE(LEFT(D317,FIND(" - ",D317)-1)), "")</f>
        <v/>
      </c>
      <c r="F316" s="5">
        <f>IFERROR(VLOOKUP(E317,Product_Master!A:D,4,FALSE)&amp;"", "")</f>
        <v/>
      </c>
      <c r="G316" s="6" t="n"/>
      <c r="H316" s="6" t="n"/>
      <c r="I316" s="6" t="n"/>
      <c r="J316" s="7">
        <f>IF(OR(G317="",G317=0), "", IFERROR(I317/G317, ""))</f>
        <v/>
      </c>
      <c r="K316" s="6" t="n"/>
      <c r="L316" s="3" t="n"/>
    </row>
    <row r="317" ht="20.1" customHeight="1">
      <c r="A317" s="1" t="n"/>
      <c r="B317" s="2" t="n"/>
      <c r="C317" s="2" t="n"/>
      <c r="D317" s="3" t="n"/>
      <c r="E317" s="4">
        <f>IFERROR(VALUE(LEFT(D318,FIND(" - ",D318)-1)), "")</f>
        <v/>
      </c>
      <c r="F317" s="5">
        <f>IFERROR(VLOOKUP(E318,Product_Master!A:D,4,FALSE)&amp;"", "")</f>
        <v/>
      </c>
      <c r="G317" s="6" t="n"/>
      <c r="H317" s="6" t="n"/>
      <c r="I317" s="6" t="n"/>
      <c r="J317" s="7">
        <f>IF(OR(G318="",G318=0), "", IFERROR(I318/G318, ""))</f>
        <v/>
      </c>
      <c r="K317" s="6" t="n"/>
      <c r="L317" s="3" t="n"/>
    </row>
    <row r="318" ht="20.1" customHeight="1">
      <c r="A318" s="1" t="n"/>
      <c r="B318" s="2" t="n"/>
      <c r="C318" s="2" t="n"/>
      <c r="D318" s="3" t="n"/>
      <c r="E318" s="4">
        <f>IFERROR(VALUE(LEFT(D319,FIND(" - ",D319)-1)), "")</f>
        <v/>
      </c>
      <c r="F318" s="5">
        <f>IFERROR(VLOOKUP(E319,Product_Master!A:D,4,FALSE)&amp;"", "")</f>
        <v/>
      </c>
      <c r="G318" s="6" t="n"/>
      <c r="H318" s="6" t="n"/>
      <c r="I318" s="6" t="n"/>
      <c r="J318" s="7">
        <f>IF(OR(G319="",G319=0), "", IFERROR(I319/G319, ""))</f>
        <v/>
      </c>
      <c r="K318" s="6" t="n"/>
      <c r="L318" s="3" t="n"/>
    </row>
    <row r="319" ht="20.1" customHeight="1">
      <c r="A319" s="1" t="n"/>
      <c r="B319" s="2" t="n"/>
      <c r="C319" s="2" t="n"/>
      <c r="D319" s="3" t="n"/>
      <c r="E319" s="4">
        <f>IFERROR(VALUE(LEFT(D320,FIND(" - ",D320)-1)), "")</f>
        <v/>
      </c>
      <c r="F319" s="5">
        <f>IFERROR(VLOOKUP(E320,Product_Master!A:D,4,FALSE)&amp;"", "")</f>
        <v/>
      </c>
      <c r="G319" s="6" t="n"/>
      <c r="H319" s="6" t="n"/>
      <c r="I319" s="6" t="n"/>
      <c r="J319" s="7">
        <f>IF(OR(G320="",G320=0), "", IFERROR(I320/G320, ""))</f>
        <v/>
      </c>
      <c r="K319" s="6" t="n"/>
      <c r="L319" s="3" t="n"/>
    </row>
    <row r="320" ht="20.1" customHeight="1">
      <c r="A320" s="1" t="n"/>
      <c r="B320" s="2" t="n"/>
      <c r="C320" s="2" t="n"/>
      <c r="D320" s="3" t="n"/>
      <c r="E320" s="4">
        <f>IFERROR(VALUE(LEFT(D321,FIND(" - ",D321)-1)), "")</f>
        <v/>
      </c>
      <c r="F320" s="5">
        <f>IFERROR(VLOOKUP(E321,Product_Master!A:D,4,FALSE)&amp;"", "")</f>
        <v/>
      </c>
      <c r="G320" s="6" t="n"/>
      <c r="H320" s="6" t="n"/>
      <c r="I320" s="6" t="n"/>
      <c r="J320" s="7">
        <f>IF(OR(G321="",G321=0), "", IFERROR(I321/G321, ""))</f>
        <v/>
      </c>
      <c r="K320" s="6" t="n"/>
      <c r="L320" s="3" t="n"/>
    </row>
    <row r="321" ht="20.1" customHeight="1">
      <c r="A321" s="1" t="n"/>
      <c r="B321" s="2" t="n"/>
      <c r="C321" s="2" t="n"/>
      <c r="D321" s="3" t="n"/>
      <c r="E321" s="4">
        <f>IFERROR(VALUE(LEFT(D322,FIND(" - ",D322)-1)), "")</f>
        <v/>
      </c>
      <c r="F321" s="5">
        <f>IFERROR(VLOOKUP(E322,Product_Master!A:D,4,FALSE)&amp;"", "")</f>
        <v/>
      </c>
      <c r="G321" s="6" t="n"/>
      <c r="H321" s="6" t="n"/>
      <c r="I321" s="6" t="n"/>
      <c r="J321" s="7">
        <f>IF(OR(G322="",G322=0), "", IFERROR(I322/G322, ""))</f>
        <v/>
      </c>
      <c r="K321" s="6" t="n"/>
      <c r="L321" s="3" t="n"/>
    </row>
    <row r="322" ht="20.1" customHeight="1">
      <c r="A322" s="1" t="n"/>
      <c r="B322" s="2" t="n"/>
      <c r="C322" s="2" t="n"/>
      <c r="D322" s="3" t="n"/>
      <c r="E322" s="4">
        <f>IFERROR(VALUE(LEFT(D323,FIND(" - ",D323)-1)), "")</f>
        <v/>
      </c>
      <c r="F322" s="5">
        <f>IFERROR(VLOOKUP(E323,Product_Master!A:D,4,FALSE)&amp;"", "")</f>
        <v/>
      </c>
      <c r="G322" s="6" t="n"/>
      <c r="H322" s="6" t="n"/>
      <c r="I322" s="6" t="n"/>
      <c r="J322" s="7">
        <f>IF(OR(G323="",G323=0), "", IFERROR(I323/G323, ""))</f>
        <v/>
      </c>
      <c r="K322" s="6" t="n"/>
      <c r="L322" s="3" t="n"/>
    </row>
    <row r="323" ht="20.1" customHeight="1">
      <c r="A323" s="1" t="n"/>
      <c r="B323" s="2" t="n"/>
      <c r="C323" s="2" t="n"/>
      <c r="D323" s="3" t="n"/>
      <c r="E323" s="4">
        <f>IFERROR(VALUE(LEFT(D324,FIND(" - ",D324)-1)), "")</f>
        <v/>
      </c>
      <c r="F323" s="5">
        <f>IFERROR(VLOOKUP(E324,Product_Master!A:D,4,FALSE)&amp;"", "")</f>
        <v/>
      </c>
      <c r="G323" s="6" t="n"/>
      <c r="H323" s="6" t="n"/>
      <c r="I323" s="6" t="n"/>
      <c r="J323" s="7">
        <f>IF(OR(G324="",G324=0), "", IFERROR(I324/G324, ""))</f>
        <v/>
      </c>
      <c r="K323" s="6" t="n"/>
      <c r="L323" s="3" t="n"/>
    </row>
    <row r="324" ht="20.1" customHeight="1">
      <c r="A324" s="1" t="n"/>
      <c r="B324" s="2" t="n"/>
      <c r="C324" s="2" t="n"/>
      <c r="D324" s="3" t="n"/>
      <c r="E324" s="4">
        <f>IFERROR(VALUE(LEFT(D325,FIND(" - ",D325)-1)), "")</f>
        <v/>
      </c>
      <c r="F324" s="5">
        <f>IFERROR(VLOOKUP(E325,Product_Master!A:D,4,FALSE)&amp;"", "")</f>
        <v/>
      </c>
      <c r="G324" s="6" t="n"/>
      <c r="H324" s="6" t="n"/>
      <c r="I324" s="6" t="n"/>
      <c r="J324" s="7">
        <f>IF(OR(G325="",G325=0), "", IFERROR(I325/G325, ""))</f>
        <v/>
      </c>
      <c r="K324" s="6" t="n"/>
      <c r="L324" s="3" t="n"/>
    </row>
    <row r="325" ht="20.1" customHeight="1">
      <c r="A325" s="1" t="n"/>
      <c r="B325" s="2" t="n"/>
      <c r="C325" s="2" t="n"/>
      <c r="D325" s="3" t="n"/>
      <c r="E325" s="4">
        <f>IFERROR(VALUE(LEFT(D326,FIND(" - ",D326)-1)), "")</f>
        <v/>
      </c>
      <c r="F325" s="5">
        <f>IFERROR(VLOOKUP(E326,Product_Master!A:D,4,FALSE)&amp;"", "")</f>
        <v/>
      </c>
      <c r="G325" s="6" t="n"/>
      <c r="H325" s="6" t="n"/>
      <c r="I325" s="6" t="n"/>
      <c r="J325" s="7">
        <f>IF(OR(G326="",G326=0), "", IFERROR(I326/G326, ""))</f>
        <v/>
      </c>
      <c r="K325" s="6" t="n"/>
      <c r="L325" s="3" t="n"/>
    </row>
    <row r="326" ht="20.1" customHeight="1">
      <c r="A326" s="1" t="n"/>
      <c r="B326" s="2" t="n"/>
      <c r="C326" s="2" t="n"/>
      <c r="D326" s="3" t="n"/>
      <c r="E326" s="4">
        <f>IFERROR(VALUE(LEFT(D327,FIND(" - ",D327)-1)), "")</f>
        <v/>
      </c>
      <c r="F326" s="5">
        <f>IFERROR(VLOOKUP(E327,Product_Master!A:D,4,FALSE)&amp;"", "")</f>
        <v/>
      </c>
      <c r="G326" s="6" t="n"/>
      <c r="H326" s="6" t="n"/>
      <c r="I326" s="6" t="n"/>
      <c r="J326" s="7">
        <f>IF(OR(G327="",G327=0), "", IFERROR(I327/G327, ""))</f>
        <v/>
      </c>
      <c r="K326" s="6" t="n"/>
      <c r="L326" s="3" t="n"/>
    </row>
    <row r="327" ht="20.1" customHeight="1">
      <c r="A327" s="1" t="n"/>
      <c r="B327" s="2" t="n"/>
      <c r="C327" s="2" t="n"/>
      <c r="D327" s="3" t="n"/>
      <c r="E327" s="4">
        <f>IFERROR(VALUE(LEFT(D328,FIND(" - ",D328)-1)), "")</f>
        <v/>
      </c>
      <c r="F327" s="5">
        <f>IFERROR(VLOOKUP(E328,Product_Master!A:D,4,FALSE)&amp;"", "")</f>
        <v/>
      </c>
      <c r="G327" s="6" t="n"/>
      <c r="H327" s="6" t="n"/>
      <c r="I327" s="6" t="n"/>
      <c r="J327" s="7">
        <f>IF(OR(G328="",G328=0), "", IFERROR(I328/G328, ""))</f>
        <v/>
      </c>
      <c r="K327" s="6" t="n"/>
      <c r="L327" s="3" t="n"/>
    </row>
    <row r="328" ht="20.1" customHeight="1">
      <c r="A328" s="1" t="n"/>
      <c r="B328" s="2" t="n"/>
      <c r="C328" s="2" t="n"/>
      <c r="D328" s="3" t="n"/>
      <c r="E328" s="4">
        <f>IFERROR(VALUE(LEFT(D329,FIND(" - ",D329)-1)), "")</f>
        <v/>
      </c>
      <c r="F328" s="5">
        <f>IFERROR(VLOOKUP(E329,Product_Master!A:D,4,FALSE)&amp;"", "")</f>
        <v/>
      </c>
      <c r="G328" s="6" t="n"/>
      <c r="H328" s="6" t="n"/>
      <c r="I328" s="6" t="n"/>
      <c r="J328" s="7">
        <f>IF(OR(G329="",G329=0), "", IFERROR(I329/G329, ""))</f>
        <v/>
      </c>
      <c r="K328" s="6" t="n"/>
      <c r="L328" s="3" t="n"/>
    </row>
    <row r="329" ht="20.1" customHeight="1">
      <c r="A329" s="1" t="n"/>
      <c r="B329" s="2" t="n"/>
      <c r="C329" s="2" t="n"/>
      <c r="D329" s="3" t="n"/>
      <c r="E329" s="4">
        <f>IFERROR(VALUE(LEFT(D330,FIND(" - ",D330)-1)), "")</f>
        <v/>
      </c>
      <c r="F329" s="5">
        <f>IFERROR(VLOOKUP(E330,Product_Master!A:D,4,FALSE)&amp;"", "")</f>
        <v/>
      </c>
      <c r="G329" s="6" t="n"/>
      <c r="H329" s="6" t="n"/>
      <c r="I329" s="6" t="n"/>
      <c r="J329" s="7">
        <f>IF(OR(G330="",G330=0), "", IFERROR(I330/G330, ""))</f>
        <v/>
      </c>
      <c r="K329" s="6" t="n"/>
      <c r="L329" s="3" t="n"/>
    </row>
    <row r="330" ht="20.1" customHeight="1">
      <c r="A330" s="1" t="n"/>
      <c r="B330" s="2" t="n"/>
      <c r="C330" s="2" t="n"/>
      <c r="D330" s="3" t="n"/>
      <c r="E330" s="4">
        <f>IFERROR(VALUE(LEFT(D331,FIND(" - ",D331)-1)), "")</f>
        <v/>
      </c>
      <c r="F330" s="5">
        <f>IFERROR(VLOOKUP(E331,Product_Master!A:D,4,FALSE)&amp;"", "")</f>
        <v/>
      </c>
      <c r="G330" s="6" t="n"/>
      <c r="H330" s="6" t="n"/>
      <c r="I330" s="6" t="n"/>
      <c r="J330" s="7">
        <f>IF(OR(G331="",G331=0), "", IFERROR(I331/G331, ""))</f>
        <v/>
      </c>
      <c r="K330" s="6" t="n"/>
      <c r="L330" s="3" t="n"/>
    </row>
    <row r="331" ht="20.1" customHeight="1">
      <c r="A331" s="1" t="n"/>
      <c r="B331" s="2" t="n"/>
      <c r="C331" s="2" t="n"/>
      <c r="D331" s="3" t="n"/>
      <c r="E331" s="4">
        <f>IFERROR(VALUE(LEFT(D332,FIND(" - ",D332)-1)), "")</f>
        <v/>
      </c>
      <c r="F331" s="5">
        <f>IFERROR(VLOOKUP(E332,Product_Master!A:D,4,FALSE)&amp;"", "")</f>
        <v/>
      </c>
      <c r="G331" s="6" t="n"/>
      <c r="H331" s="6" t="n"/>
      <c r="I331" s="6" t="n"/>
      <c r="J331" s="7">
        <f>IF(OR(G332="",G332=0), "", IFERROR(I332/G332, ""))</f>
        <v/>
      </c>
      <c r="K331" s="6" t="n"/>
      <c r="L331" s="3" t="n"/>
    </row>
    <row r="332" ht="20.1" customHeight="1">
      <c r="A332" s="1" t="n"/>
      <c r="B332" s="2" t="n"/>
      <c r="C332" s="2" t="n"/>
      <c r="D332" s="3" t="n"/>
      <c r="E332" s="4">
        <f>IFERROR(VALUE(LEFT(D333,FIND(" - ",D333)-1)), "")</f>
        <v/>
      </c>
      <c r="F332" s="5">
        <f>IFERROR(VLOOKUP(E333,Product_Master!A:D,4,FALSE)&amp;"", "")</f>
        <v/>
      </c>
      <c r="G332" s="6" t="n"/>
      <c r="H332" s="6" t="n"/>
      <c r="I332" s="6" t="n"/>
      <c r="J332" s="7">
        <f>IF(OR(G333="",G333=0), "", IFERROR(I333/G333, ""))</f>
        <v/>
      </c>
      <c r="K332" s="6" t="n"/>
      <c r="L332" s="3" t="n"/>
    </row>
    <row r="333" ht="20.1" customHeight="1">
      <c r="A333" s="1" t="n"/>
      <c r="B333" s="2" t="n"/>
      <c r="C333" s="2" t="n"/>
      <c r="D333" s="3" t="n"/>
      <c r="E333" s="4">
        <f>IFERROR(VALUE(LEFT(D334,FIND(" - ",D334)-1)), "")</f>
        <v/>
      </c>
      <c r="F333" s="5">
        <f>IFERROR(VLOOKUP(E334,Product_Master!A:D,4,FALSE)&amp;"", "")</f>
        <v/>
      </c>
      <c r="G333" s="6" t="n"/>
      <c r="H333" s="6" t="n"/>
      <c r="I333" s="6" t="n"/>
      <c r="J333" s="7">
        <f>IF(OR(G334="",G334=0), "", IFERROR(I334/G334, ""))</f>
        <v/>
      </c>
      <c r="K333" s="6" t="n"/>
      <c r="L333" s="3" t="n"/>
    </row>
    <row r="334" ht="20.1" customHeight="1">
      <c r="A334" s="1" t="n"/>
      <c r="B334" s="2" t="n"/>
      <c r="C334" s="2" t="n"/>
      <c r="D334" s="3" t="n"/>
      <c r="E334" s="4">
        <f>IFERROR(VALUE(LEFT(D335,FIND(" - ",D335)-1)), "")</f>
        <v/>
      </c>
      <c r="F334" s="5">
        <f>IFERROR(VLOOKUP(E335,Product_Master!A:D,4,FALSE)&amp;"", "")</f>
        <v/>
      </c>
      <c r="G334" s="6" t="n"/>
      <c r="H334" s="6" t="n"/>
      <c r="I334" s="6" t="n"/>
      <c r="J334" s="7">
        <f>IF(OR(G335="",G335=0), "", IFERROR(I335/G335, ""))</f>
        <v/>
      </c>
      <c r="K334" s="6" t="n"/>
      <c r="L334" s="3" t="n"/>
    </row>
    <row r="335" ht="20.1" customHeight="1">
      <c r="A335" s="1" t="n"/>
      <c r="B335" s="2" t="n"/>
      <c r="C335" s="2" t="n"/>
      <c r="D335" s="3" t="n"/>
      <c r="E335" s="4">
        <f>IFERROR(VALUE(LEFT(D336,FIND(" - ",D336)-1)), "")</f>
        <v/>
      </c>
      <c r="F335" s="5">
        <f>IFERROR(VLOOKUP(E336,Product_Master!A:D,4,FALSE)&amp;"", "")</f>
        <v/>
      </c>
      <c r="G335" s="6" t="n"/>
      <c r="H335" s="6" t="n"/>
      <c r="I335" s="6" t="n"/>
      <c r="J335" s="7">
        <f>IF(OR(G336="",G336=0), "", IFERROR(I336/G336, ""))</f>
        <v/>
      </c>
      <c r="K335" s="6" t="n"/>
      <c r="L335" s="3" t="n"/>
    </row>
    <row r="336" ht="20.1" customHeight="1">
      <c r="A336" s="1" t="n"/>
      <c r="B336" s="2" t="n"/>
      <c r="C336" s="2" t="n"/>
      <c r="D336" s="3" t="n"/>
      <c r="E336" s="4">
        <f>IFERROR(VALUE(LEFT(D337,FIND(" - ",D337)-1)), "")</f>
        <v/>
      </c>
      <c r="F336" s="5">
        <f>IFERROR(VLOOKUP(E337,Product_Master!A:D,4,FALSE)&amp;"", "")</f>
        <v/>
      </c>
      <c r="G336" s="6" t="n"/>
      <c r="H336" s="6" t="n"/>
      <c r="I336" s="6" t="n"/>
      <c r="J336" s="7">
        <f>IF(OR(G337="",G337=0), "", IFERROR(I337/G337, ""))</f>
        <v/>
      </c>
      <c r="K336" s="6" t="n"/>
      <c r="L336" s="3" t="n"/>
    </row>
    <row r="337" ht="20.1" customHeight="1">
      <c r="A337" s="1" t="n"/>
      <c r="B337" s="2" t="n"/>
      <c r="C337" s="2" t="n"/>
      <c r="D337" s="3" t="n"/>
      <c r="E337" s="4">
        <f>IFERROR(VALUE(LEFT(D338,FIND(" - ",D338)-1)), "")</f>
        <v/>
      </c>
      <c r="F337" s="5">
        <f>IFERROR(VLOOKUP(E338,Product_Master!A:D,4,FALSE)&amp;"", "")</f>
        <v/>
      </c>
      <c r="G337" s="6" t="n"/>
      <c r="H337" s="6" t="n"/>
      <c r="I337" s="6" t="n"/>
      <c r="J337" s="7">
        <f>IF(OR(G338="",G338=0), "", IFERROR(I338/G338, ""))</f>
        <v/>
      </c>
      <c r="K337" s="6" t="n"/>
      <c r="L337" s="3" t="n"/>
    </row>
    <row r="338" ht="20.1" customHeight="1">
      <c r="A338" s="1" t="n"/>
      <c r="B338" s="2" t="n"/>
      <c r="C338" s="2" t="n"/>
      <c r="D338" s="3" t="n"/>
      <c r="E338" s="4">
        <f>IFERROR(VALUE(LEFT(D339,FIND(" - ",D339)-1)), "")</f>
        <v/>
      </c>
      <c r="F338" s="5">
        <f>IFERROR(VLOOKUP(E339,Product_Master!A:D,4,FALSE)&amp;"", "")</f>
        <v/>
      </c>
      <c r="G338" s="6" t="n"/>
      <c r="H338" s="6" t="n"/>
      <c r="I338" s="6" t="n"/>
      <c r="J338" s="7">
        <f>IF(OR(G339="",G339=0), "", IFERROR(I339/G339, ""))</f>
        <v/>
      </c>
      <c r="K338" s="6" t="n"/>
      <c r="L338" s="3" t="n"/>
    </row>
    <row r="339" ht="20.1" customHeight="1">
      <c r="A339" s="1" t="n"/>
      <c r="B339" s="2" t="n"/>
      <c r="C339" s="2" t="n"/>
      <c r="D339" s="3" t="n"/>
      <c r="E339" s="4">
        <f>IFERROR(VALUE(LEFT(D340,FIND(" - ",D340)-1)), "")</f>
        <v/>
      </c>
      <c r="F339" s="5">
        <f>IFERROR(VLOOKUP(E340,Product_Master!A:D,4,FALSE)&amp;"", "")</f>
        <v/>
      </c>
      <c r="G339" s="6" t="n"/>
      <c r="H339" s="6" t="n"/>
      <c r="I339" s="6" t="n"/>
      <c r="J339" s="7">
        <f>IF(OR(G340="",G340=0), "", IFERROR(I340/G340, ""))</f>
        <v/>
      </c>
      <c r="K339" s="6" t="n"/>
      <c r="L339" s="3" t="n"/>
    </row>
    <row r="340" ht="20.1" customHeight="1">
      <c r="A340" s="1" t="n"/>
      <c r="B340" s="2" t="n"/>
      <c r="C340" s="2" t="n"/>
      <c r="D340" s="3" t="n"/>
      <c r="E340" s="4">
        <f>IFERROR(VALUE(LEFT(D341,FIND(" - ",D341)-1)), "")</f>
        <v/>
      </c>
      <c r="F340" s="5">
        <f>IFERROR(VLOOKUP(E341,Product_Master!A:D,4,FALSE)&amp;"", "")</f>
        <v/>
      </c>
      <c r="G340" s="6" t="n"/>
      <c r="H340" s="6" t="n"/>
      <c r="I340" s="6" t="n"/>
      <c r="J340" s="7">
        <f>IF(OR(G341="",G341=0), "", IFERROR(I341/G341, ""))</f>
        <v/>
      </c>
      <c r="K340" s="6" t="n"/>
      <c r="L340" s="3" t="n"/>
    </row>
    <row r="341" ht="20.1" customHeight="1">
      <c r="A341" s="1" t="n"/>
      <c r="B341" s="2" t="n"/>
      <c r="C341" s="2" t="n"/>
      <c r="D341" s="3" t="n"/>
      <c r="E341" s="4">
        <f>IFERROR(VALUE(LEFT(D342,FIND(" - ",D342)-1)), "")</f>
        <v/>
      </c>
      <c r="F341" s="5">
        <f>IFERROR(VLOOKUP(E342,Product_Master!A:D,4,FALSE)&amp;"", "")</f>
        <v/>
      </c>
      <c r="G341" s="6" t="n"/>
      <c r="H341" s="6" t="n"/>
      <c r="I341" s="6" t="n"/>
      <c r="J341" s="7">
        <f>IF(OR(G342="",G342=0), "", IFERROR(I342/G342, ""))</f>
        <v/>
      </c>
      <c r="K341" s="6" t="n"/>
      <c r="L341" s="3" t="n"/>
    </row>
    <row r="342" ht="20.1" customHeight="1">
      <c r="A342" s="1" t="n"/>
      <c r="B342" s="2" t="n"/>
      <c r="C342" s="2" t="n"/>
      <c r="D342" s="3" t="n"/>
      <c r="E342" s="4">
        <f>IFERROR(VALUE(LEFT(D343,FIND(" - ",D343)-1)), "")</f>
        <v/>
      </c>
      <c r="F342" s="5">
        <f>IFERROR(VLOOKUP(E343,Product_Master!A:D,4,FALSE)&amp;"", "")</f>
        <v/>
      </c>
      <c r="G342" s="6" t="n"/>
      <c r="H342" s="6" t="n"/>
      <c r="I342" s="6" t="n"/>
      <c r="J342" s="7">
        <f>IF(OR(G343="",G343=0), "", IFERROR(I343/G343, ""))</f>
        <v/>
      </c>
      <c r="K342" s="6" t="n"/>
      <c r="L342" s="3" t="n"/>
    </row>
    <row r="343" ht="20.1" customHeight="1">
      <c r="A343" s="1" t="n"/>
      <c r="B343" s="2" t="n"/>
      <c r="C343" s="2" t="n"/>
      <c r="D343" s="3" t="n"/>
      <c r="E343" s="4">
        <f>IFERROR(VALUE(LEFT(D344,FIND(" - ",D344)-1)), "")</f>
        <v/>
      </c>
      <c r="F343" s="5">
        <f>IFERROR(VLOOKUP(E344,Product_Master!A:D,4,FALSE)&amp;"", "")</f>
        <v/>
      </c>
      <c r="G343" s="6" t="n"/>
      <c r="H343" s="6" t="n"/>
      <c r="I343" s="6" t="n"/>
      <c r="J343" s="7">
        <f>IF(OR(G344="",G344=0), "", IFERROR(I344/G344, ""))</f>
        <v/>
      </c>
      <c r="K343" s="6" t="n"/>
      <c r="L343" s="3" t="n"/>
    </row>
    <row r="344" ht="20.1" customHeight="1">
      <c r="A344" s="1" t="n"/>
      <c r="B344" s="2" t="n"/>
      <c r="C344" s="2" t="n"/>
      <c r="D344" s="3" t="n"/>
      <c r="E344" s="4">
        <f>IFERROR(VALUE(LEFT(D345,FIND(" - ",D345)-1)), "")</f>
        <v/>
      </c>
      <c r="F344" s="5">
        <f>IFERROR(VLOOKUP(E345,Product_Master!A:D,4,FALSE)&amp;"", "")</f>
        <v/>
      </c>
      <c r="G344" s="6" t="n"/>
      <c r="H344" s="6" t="n"/>
      <c r="I344" s="6" t="n"/>
      <c r="J344" s="7">
        <f>IF(OR(G345="",G345=0), "", IFERROR(I345/G345, ""))</f>
        <v/>
      </c>
      <c r="K344" s="6" t="n"/>
      <c r="L344" s="3" t="n"/>
    </row>
    <row r="345" ht="20.1" customHeight="1">
      <c r="A345" s="1" t="n"/>
      <c r="B345" s="2" t="n"/>
      <c r="C345" s="2" t="n"/>
      <c r="D345" s="3" t="n"/>
      <c r="E345" s="4">
        <f>IFERROR(VALUE(LEFT(D346,FIND(" - ",D346)-1)), "")</f>
        <v/>
      </c>
      <c r="F345" s="5">
        <f>IFERROR(VLOOKUP(E346,Product_Master!A:D,4,FALSE)&amp;"", "")</f>
        <v/>
      </c>
      <c r="G345" s="6" t="n"/>
      <c r="H345" s="6" t="n"/>
      <c r="I345" s="6" t="n"/>
      <c r="J345" s="7">
        <f>IF(OR(G346="",G346=0), "", IFERROR(I346/G346, ""))</f>
        <v/>
      </c>
      <c r="K345" s="6" t="n"/>
      <c r="L345" s="3" t="n"/>
    </row>
    <row r="346" ht="20.1" customHeight="1">
      <c r="A346" s="1" t="n"/>
      <c r="B346" s="2" t="n"/>
      <c r="C346" s="2" t="n"/>
      <c r="D346" s="3" t="n"/>
      <c r="E346" s="4">
        <f>IFERROR(VALUE(LEFT(D347,FIND(" - ",D347)-1)), "")</f>
        <v/>
      </c>
      <c r="F346" s="5">
        <f>IFERROR(VLOOKUP(E347,Product_Master!A:D,4,FALSE)&amp;"", "")</f>
        <v/>
      </c>
      <c r="G346" s="6" t="n"/>
      <c r="H346" s="6" t="n"/>
      <c r="I346" s="6" t="n"/>
      <c r="J346" s="7">
        <f>IF(OR(G347="",G347=0), "", IFERROR(I347/G347, ""))</f>
        <v/>
      </c>
      <c r="K346" s="6" t="n"/>
      <c r="L346" s="3" t="n"/>
    </row>
    <row r="347" ht="20.1" customHeight="1">
      <c r="A347" s="1" t="n"/>
      <c r="B347" s="2" t="n"/>
      <c r="C347" s="2" t="n"/>
      <c r="D347" s="3" t="n"/>
      <c r="E347" s="4">
        <f>IFERROR(VALUE(LEFT(D348,FIND(" - ",D348)-1)), "")</f>
        <v/>
      </c>
      <c r="F347" s="5">
        <f>IFERROR(VLOOKUP(E348,Product_Master!A:D,4,FALSE)&amp;"", "")</f>
        <v/>
      </c>
      <c r="G347" s="6" t="n"/>
      <c r="H347" s="6" t="n"/>
      <c r="I347" s="6" t="n"/>
      <c r="J347" s="7">
        <f>IF(OR(G348="",G348=0), "", IFERROR(I348/G348, ""))</f>
        <v/>
      </c>
      <c r="K347" s="6" t="n"/>
      <c r="L347" s="3" t="n"/>
    </row>
    <row r="348" ht="20.1" customHeight="1">
      <c r="A348" s="1" t="n"/>
      <c r="B348" s="2" t="n"/>
      <c r="C348" s="2" t="n"/>
      <c r="D348" s="3" t="n"/>
      <c r="E348" s="4">
        <f>IFERROR(VALUE(LEFT(D349,FIND(" - ",D349)-1)), "")</f>
        <v/>
      </c>
      <c r="F348" s="5">
        <f>IFERROR(VLOOKUP(E349,Product_Master!A:D,4,FALSE)&amp;"", "")</f>
        <v/>
      </c>
      <c r="G348" s="6" t="n"/>
      <c r="H348" s="6" t="n"/>
      <c r="I348" s="6" t="n"/>
      <c r="J348" s="7">
        <f>IF(OR(G349="",G349=0), "", IFERROR(I349/G349, ""))</f>
        <v/>
      </c>
      <c r="K348" s="6" t="n"/>
      <c r="L348" s="3" t="n"/>
    </row>
    <row r="349" ht="20.1" customHeight="1">
      <c r="A349" s="1" t="n"/>
      <c r="B349" s="2" t="n"/>
      <c r="C349" s="2" t="n"/>
      <c r="D349" s="3" t="n"/>
      <c r="E349" s="4">
        <f>IFERROR(VALUE(LEFT(D350,FIND(" - ",D350)-1)), "")</f>
        <v/>
      </c>
      <c r="F349" s="5">
        <f>IFERROR(VLOOKUP(E350,Product_Master!A:D,4,FALSE)&amp;"", "")</f>
        <v/>
      </c>
      <c r="G349" s="6" t="n"/>
      <c r="H349" s="6" t="n"/>
      <c r="I349" s="6" t="n"/>
      <c r="J349" s="7">
        <f>IF(OR(G350="",G350=0), "", IFERROR(I350/G350, ""))</f>
        <v/>
      </c>
      <c r="K349" s="6" t="n"/>
      <c r="L349" s="3" t="n"/>
    </row>
    <row r="350" ht="20.1" customHeight="1">
      <c r="A350" s="1" t="n"/>
      <c r="B350" s="2" t="n"/>
      <c r="C350" s="2" t="n"/>
      <c r="D350" s="3" t="n"/>
      <c r="E350" s="4">
        <f>IFERROR(VALUE(LEFT(D351,FIND(" - ",D351)-1)), "")</f>
        <v/>
      </c>
      <c r="F350" s="5">
        <f>IFERROR(VLOOKUP(E351,Product_Master!A:D,4,FALSE)&amp;"", "")</f>
        <v/>
      </c>
      <c r="G350" s="6" t="n"/>
      <c r="H350" s="6" t="n"/>
      <c r="I350" s="6" t="n"/>
      <c r="J350" s="7">
        <f>IF(OR(G351="",G351=0), "", IFERROR(I351/G351, ""))</f>
        <v/>
      </c>
      <c r="K350" s="6" t="n"/>
      <c r="L350" s="3" t="n"/>
    </row>
    <row r="351" ht="20.1" customHeight="1">
      <c r="A351" s="1" t="n"/>
      <c r="B351" s="2" t="n"/>
      <c r="C351" s="2" t="n"/>
      <c r="D351" s="3" t="n"/>
      <c r="E351" s="4">
        <f>IFERROR(VALUE(LEFT(D352,FIND(" - ",D352)-1)), "")</f>
        <v/>
      </c>
      <c r="F351" s="5">
        <f>IFERROR(VLOOKUP(E352,Product_Master!A:D,4,FALSE)&amp;"", "")</f>
        <v/>
      </c>
      <c r="G351" s="6" t="n"/>
      <c r="H351" s="6" t="n"/>
      <c r="I351" s="6" t="n"/>
      <c r="J351" s="7">
        <f>IF(OR(G352="",G352=0), "", IFERROR(I352/G352, ""))</f>
        <v/>
      </c>
      <c r="K351" s="6" t="n"/>
      <c r="L351" s="3" t="n"/>
    </row>
    <row r="352" ht="20.1" customHeight="1">
      <c r="A352" s="1" t="n"/>
      <c r="B352" s="2" t="n"/>
      <c r="C352" s="2" t="n"/>
      <c r="D352" s="3" t="n"/>
      <c r="E352" s="4">
        <f>IFERROR(VALUE(LEFT(D353,FIND(" - ",D353)-1)), "")</f>
        <v/>
      </c>
      <c r="F352" s="5">
        <f>IFERROR(VLOOKUP(E353,Product_Master!A:D,4,FALSE)&amp;"", "")</f>
        <v/>
      </c>
      <c r="G352" s="6" t="n"/>
      <c r="H352" s="6" t="n"/>
      <c r="I352" s="6" t="n"/>
      <c r="J352" s="7">
        <f>IF(OR(G353="",G353=0), "", IFERROR(I353/G353, ""))</f>
        <v/>
      </c>
      <c r="K352" s="6" t="n"/>
      <c r="L352" s="3" t="n"/>
    </row>
    <row r="353" ht="20.1" customHeight="1">
      <c r="A353" s="1" t="n"/>
      <c r="B353" s="2" t="n"/>
      <c r="C353" s="2" t="n"/>
      <c r="D353" s="3" t="n"/>
      <c r="E353" s="4">
        <f>IFERROR(VALUE(LEFT(D354,FIND(" - ",D354)-1)), "")</f>
        <v/>
      </c>
      <c r="F353" s="5">
        <f>IFERROR(VLOOKUP(E354,Product_Master!A:D,4,FALSE)&amp;"", "")</f>
        <v/>
      </c>
      <c r="G353" s="6" t="n"/>
      <c r="H353" s="6" t="n"/>
      <c r="I353" s="6" t="n"/>
      <c r="J353" s="7">
        <f>IF(OR(G354="",G354=0), "", IFERROR(I354/G354, ""))</f>
        <v/>
      </c>
      <c r="K353" s="6" t="n"/>
      <c r="L353" s="3" t="n"/>
    </row>
    <row r="354" ht="20.1" customHeight="1">
      <c r="A354" s="1" t="n"/>
      <c r="B354" s="2" t="n"/>
      <c r="C354" s="2" t="n"/>
      <c r="D354" s="3" t="n"/>
      <c r="E354" s="4">
        <f>IFERROR(VALUE(LEFT(D355,FIND(" - ",D355)-1)), "")</f>
        <v/>
      </c>
      <c r="F354" s="5">
        <f>IFERROR(VLOOKUP(E355,Product_Master!A:D,4,FALSE)&amp;"", "")</f>
        <v/>
      </c>
      <c r="G354" s="6" t="n"/>
      <c r="H354" s="6" t="n"/>
      <c r="I354" s="6" t="n"/>
      <c r="J354" s="7">
        <f>IF(OR(G355="",G355=0), "", IFERROR(I355/G355, ""))</f>
        <v/>
      </c>
      <c r="K354" s="6" t="n"/>
      <c r="L354" s="3" t="n"/>
    </row>
    <row r="355" ht="20.1" customHeight="1">
      <c r="A355" s="1" t="n"/>
      <c r="B355" s="2" t="n"/>
      <c r="C355" s="2" t="n"/>
      <c r="D355" s="3" t="n"/>
      <c r="E355" s="4">
        <f>IFERROR(VALUE(LEFT(D356,FIND(" - ",D356)-1)), "")</f>
        <v/>
      </c>
      <c r="F355" s="5">
        <f>IFERROR(VLOOKUP(E356,Product_Master!A:D,4,FALSE)&amp;"", "")</f>
        <v/>
      </c>
      <c r="G355" s="6" t="n"/>
      <c r="H355" s="6" t="n"/>
      <c r="I355" s="6" t="n"/>
      <c r="J355" s="7">
        <f>IF(OR(G356="",G356=0), "", IFERROR(I356/G356, ""))</f>
        <v/>
      </c>
      <c r="K355" s="6" t="n"/>
      <c r="L355" s="3" t="n"/>
    </row>
    <row r="356" ht="20.1" customHeight="1">
      <c r="A356" s="1" t="n"/>
      <c r="B356" s="2" t="n"/>
      <c r="C356" s="2" t="n"/>
      <c r="D356" s="3" t="n"/>
      <c r="E356" s="4">
        <f>IFERROR(VALUE(LEFT(D357,FIND(" - ",D357)-1)), "")</f>
        <v/>
      </c>
      <c r="F356" s="5">
        <f>IFERROR(VLOOKUP(E357,Product_Master!A:D,4,FALSE)&amp;"", "")</f>
        <v/>
      </c>
      <c r="G356" s="6" t="n"/>
      <c r="H356" s="6" t="n"/>
      <c r="I356" s="6" t="n"/>
      <c r="J356" s="7">
        <f>IF(OR(G357="",G357=0), "", IFERROR(I357/G357, ""))</f>
        <v/>
      </c>
      <c r="K356" s="6" t="n"/>
      <c r="L356" s="3" t="n"/>
    </row>
    <row r="357" ht="20.1" customHeight="1">
      <c r="A357" s="1" t="n"/>
      <c r="B357" s="2" t="n"/>
      <c r="C357" s="2" t="n"/>
      <c r="D357" s="3" t="n"/>
      <c r="E357" s="4">
        <f>IFERROR(VALUE(LEFT(D358,FIND(" - ",D358)-1)), "")</f>
        <v/>
      </c>
      <c r="F357" s="5">
        <f>IFERROR(VLOOKUP(E358,Product_Master!A:D,4,FALSE)&amp;"", "")</f>
        <v/>
      </c>
      <c r="G357" s="6" t="n"/>
      <c r="H357" s="6" t="n"/>
      <c r="I357" s="6" t="n"/>
      <c r="J357" s="7">
        <f>IF(OR(G358="",G358=0), "", IFERROR(I358/G358, ""))</f>
        <v/>
      </c>
      <c r="K357" s="6" t="n"/>
      <c r="L357" s="3" t="n"/>
    </row>
    <row r="358" ht="20.1" customHeight="1">
      <c r="A358" s="1" t="n"/>
      <c r="B358" s="2" t="n"/>
      <c r="C358" s="2" t="n"/>
      <c r="D358" s="3" t="n"/>
      <c r="E358" s="4">
        <f>IFERROR(VALUE(LEFT(D359,FIND(" - ",D359)-1)), "")</f>
        <v/>
      </c>
      <c r="F358" s="5">
        <f>IFERROR(VLOOKUP(E359,Product_Master!A:D,4,FALSE)&amp;"", "")</f>
        <v/>
      </c>
      <c r="G358" s="6" t="n"/>
      <c r="H358" s="6" t="n"/>
      <c r="I358" s="6" t="n"/>
      <c r="J358" s="7">
        <f>IF(OR(G359="",G359=0), "", IFERROR(I359/G359, ""))</f>
        <v/>
      </c>
      <c r="K358" s="6" t="n"/>
      <c r="L358" s="3" t="n"/>
    </row>
    <row r="359" ht="20.1" customHeight="1">
      <c r="A359" s="1" t="n"/>
      <c r="B359" s="2" t="n"/>
      <c r="C359" s="2" t="n"/>
      <c r="D359" s="3" t="n"/>
      <c r="E359" s="4">
        <f>IFERROR(VALUE(LEFT(D360,FIND(" - ",D360)-1)), "")</f>
        <v/>
      </c>
      <c r="F359" s="5">
        <f>IFERROR(VLOOKUP(E360,Product_Master!A:D,4,FALSE)&amp;"", "")</f>
        <v/>
      </c>
      <c r="G359" s="6" t="n"/>
      <c r="H359" s="6" t="n"/>
      <c r="I359" s="6" t="n"/>
      <c r="J359" s="7">
        <f>IF(OR(G360="",G360=0), "", IFERROR(I360/G360, ""))</f>
        <v/>
      </c>
      <c r="K359" s="6" t="n"/>
      <c r="L359" s="3" t="n"/>
    </row>
    <row r="360" ht="20.1" customHeight="1">
      <c r="A360" s="1" t="n"/>
      <c r="B360" s="2" t="n"/>
      <c r="C360" s="2" t="n"/>
      <c r="D360" s="3" t="n"/>
      <c r="E360" s="4">
        <f>IFERROR(VALUE(LEFT(D361,FIND(" - ",D361)-1)), "")</f>
        <v/>
      </c>
      <c r="F360" s="5">
        <f>IFERROR(VLOOKUP(E361,Product_Master!A:D,4,FALSE)&amp;"", "")</f>
        <v/>
      </c>
      <c r="G360" s="6" t="n"/>
      <c r="H360" s="6" t="n"/>
      <c r="I360" s="6" t="n"/>
      <c r="J360" s="7">
        <f>IF(OR(G361="",G361=0), "", IFERROR(I361/G361, ""))</f>
        <v/>
      </c>
      <c r="K360" s="6" t="n"/>
      <c r="L360" s="3" t="n"/>
    </row>
    <row r="361" ht="20.1" customHeight="1">
      <c r="A361" s="1" t="n"/>
      <c r="B361" s="2" t="n"/>
      <c r="C361" s="2" t="n"/>
      <c r="D361" s="3" t="n"/>
      <c r="E361" s="4">
        <f>IFERROR(VALUE(LEFT(D362,FIND(" - ",D362)-1)), "")</f>
        <v/>
      </c>
      <c r="F361" s="5">
        <f>IFERROR(VLOOKUP(E362,Product_Master!A:D,4,FALSE)&amp;"", "")</f>
        <v/>
      </c>
      <c r="G361" s="6" t="n"/>
      <c r="H361" s="6" t="n"/>
      <c r="I361" s="6" t="n"/>
      <c r="J361" s="7">
        <f>IF(OR(G362="",G362=0), "", IFERROR(I362/G362, ""))</f>
        <v/>
      </c>
      <c r="K361" s="6" t="n"/>
      <c r="L361" s="3" t="n"/>
    </row>
    <row r="362" ht="20.1" customHeight="1">
      <c r="A362" s="1" t="n"/>
      <c r="B362" s="2" t="n"/>
      <c r="C362" s="2" t="n"/>
      <c r="D362" s="3" t="n"/>
      <c r="E362" s="4">
        <f>IFERROR(VALUE(LEFT(D363,FIND(" - ",D363)-1)), "")</f>
        <v/>
      </c>
      <c r="F362" s="5">
        <f>IFERROR(VLOOKUP(E363,Product_Master!A:D,4,FALSE)&amp;"", "")</f>
        <v/>
      </c>
      <c r="G362" s="6" t="n"/>
      <c r="H362" s="6" t="n"/>
      <c r="I362" s="6" t="n"/>
      <c r="J362" s="7">
        <f>IF(OR(G363="",G363=0), "", IFERROR(I363/G363, ""))</f>
        <v/>
      </c>
      <c r="K362" s="6" t="n"/>
      <c r="L362" s="3" t="n"/>
    </row>
    <row r="363" ht="20.1" customHeight="1">
      <c r="A363" s="1" t="n"/>
      <c r="B363" s="2" t="n"/>
      <c r="C363" s="2" t="n"/>
      <c r="D363" s="3" t="n"/>
      <c r="E363" s="4">
        <f>IFERROR(VALUE(LEFT(D364,FIND(" - ",D364)-1)), "")</f>
        <v/>
      </c>
      <c r="F363" s="5">
        <f>IFERROR(VLOOKUP(E364,Product_Master!A:D,4,FALSE)&amp;"", "")</f>
        <v/>
      </c>
      <c r="G363" s="6" t="n"/>
      <c r="H363" s="6" t="n"/>
      <c r="I363" s="6" t="n"/>
      <c r="J363" s="7">
        <f>IF(OR(G364="",G364=0), "", IFERROR(I364/G364, ""))</f>
        <v/>
      </c>
      <c r="K363" s="6" t="n"/>
      <c r="L363" s="3" t="n"/>
    </row>
    <row r="364" ht="20.1" customHeight="1">
      <c r="A364" s="1" t="n"/>
      <c r="B364" s="2" t="n"/>
      <c r="C364" s="2" t="n"/>
      <c r="D364" s="3" t="n"/>
      <c r="E364" s="4">
        <f>IFERROR(VALUE(LEFT(D365,FIND(" - ",D365)-1)), "")</f>
        <v/>
      </c>
      <c r="F364" s="5">
        <f>IFERROR(VLOOKUP(E365,Product_Master!A:D,4,FALSE)&amp;"", "")</f>
        <v/>
      </c>
      <c r="G364" s="6" t="n"/>
      <c r="H364" s="6" t="n"/>
      <c r="I364" s="6" t="n"/>
      <c r="J364" s="7">
        <f>IF(OR(G365="",G365=0), "", IFERROR(I365/G365, ""))</f>
        <v/>
      </c>
      <c r="K364" s="6" t="n"/>
      <c r="L364" s="3" t="n"/>
    </row>
    <row r="365" ht="20.1" customHeight="1">
      <c r="A365" s="1" t="n"/>
      <c r="B365" s="2" t="n"/>
      <c r="C365" s="2" t="n"/>
      <c r="D365" s="3" t="n"/>
      <c r="E365" s="4">
        <f>IFERROR(VALUE(LEFT(D366,FIND(" - ",D366)-1)), "")</f>
        <v/>
      </c>
      <c r="F365" s="5">
        <f>IFERROR(VLOOKUP(E366,Product_Master!A:D,4,FALSE)&amp;"", "")</f>
        <v/>
      </c>
      <c r="G365" s="6" t="n"/>
      <c r="H365" s="6" t="n"/>
      <c r="I365" s="6" t="n"/>
      <c r="J365" s="7">
        <f>IF(OR(G366="",G366=0), "", IFERROR(I366/G366, ""))</f>
        <v/>
      </c>
      <c r="K365" s="6" t="n"/>
      <c r="L365" s="3" t="n"/>
    </row>
    <row r="366" ht="20.1" customHeight="1">
      <c r="A366" s="1" t="n"/>
      <c r="B366" s="2" t="n"/>
      <c r="C366" s="2" t="n"/>
      <c r="D366" s="3" t="n"/>
      <c r="E366" s="4">
        <f>IFERROR(VALUE(LEFT(D367,FIND(" - ",D367)-1)), "")</f>
        <v/>
      </c>
      <c r="F366" s="5">
        <f>IFERROR(VLOOKUP(E367,Product_Master!A:D,4,FALSE)&amp;"", "")</f>
        <v/>
      </c>
      <c r="G366" s="6" t="n"/>
      <c r="H366" s="6" t="n"/>
      <c r="I366" s="6" t="n"/>
      <c r="J366" s="7">
        <f>IF(OR(G367="",G367=0), "", IFERROR(I367/G367, ""))</f>
        <v/>
      </c>
      <c r="K366" s="6" t="n"/>
      <c r="L366" s="3" t="n"/>
    </row>
    <row r="367" ht="20.1" customHeight="1">
      <c r="A367" s="1" t="n"/>
      <c r="B367" s="2" t="n"/>
      <c r="C367" s="2" t="n"/>
      <c r="D367" s="3" t="n"/>
      <c r="E367" s="4">
        <f>IFERROR(VALUE(LEFT(D368,FIND(" - ",D368)-1)), "")</f>
        <v/>
      </c>
      <c r="F367" s="5">
        <f>IFERROR(VLOOKUP(E368,Product_Master!A:D,4,FALSE)&amp;"", "")</f>
        <v/>
      </c>
      <c r="G367" s="6" t="n"/>
      <c r="H367" s="6" t="n"/>
      <c r="I367" s="6" t="n"/>
      <c r="J367" s="7">
        <f>IF(OR(G368="",G368=0), "", IFERROR(I368/G368, ""))</f>
        <v/>
      </c>
      <c r="K367" s="6" t="n"/>
      <c r="L367" s="3" t="n"/>
    </row>
    <row r="368" ht="20.1" customHeight="1">
      <c r="A368" s="1" t="n"/>
      <c r="B368" s="2" t="n"/>
      <c r="C368" s="2" t="n"/>
      <c r="D368" s="3" t="n"/>
      <c r="E368" s="4">
        <f>IFERROR(VALUE(LEFT(D369,FIND(" - ",D369)-1)), "")</f>
        <v/>
      </c>
      <c r="F368" s="5">
        <f>IFERROR(VLOOKUP(E369,Product_Master!A:D,4,FALSE)&amp;"", "")</f>
        <v/>
      </c>
      <c r="G368" s="6" t="n"/>
      <c r="H368" s="6" t="n"/>
      <c r="I368" s="6" t="n"/>
      <c r="J368" s="7">
        <f>IF(OR(G369="",G369=0), "", IFERROR(I369/G369, ""))</f>
        <v/>
      </c>
      <c r="K368" s="6" t="n"/>
      <c r="L368" s="3" t="n"/>
    </row>
    <row r="369" ht="20.1" customHeight="1">
      <c r="A369" s="1" t="n"/>
      <c r="B369" s="2" t="n"/>
      <c r="C369" s="2" t="n"/>
      <c r="D369" s="3" t="n"/>
      <c r="E369" s="4">
        <f>IFERROR(VALUE(LEFT(D370,FIND(" - ",D370)-1)), "")</f>
        <v/>
      </c>
      <c r="F369" s="5">
        <f>IFERROR(VLOOKUP(E370,Product_Master!A:D,4,FALSE)&amp;"", "")</f>
        <v/>
      </c>
      <c r="G369" s="6" t="n"/>
      <c r="H369" s="6" t="n"/>
      <c r="I369" s="6" t="n"/>
      <c r="J369" s="7">
        <f>IF(OR(G370="",G370=0), "", IFERROR(I370/G370, ""))</f>
        <v/>
      </c>
      <c r="K369" s="6" t="n"/>
      <c r="L369" s="3" t="n"/>
    </row>
    <row r="370" ht="20.1" customHeight="1">
      <c r="A370" s="1" t="n"/>
      <c r="B370" s="2" t="n"/>
      <c r="C370" s="2" t="n"/>
      <c r="D370" s="3" t="n"/>
      <c r="E370" s="4">
        <f>IFERROR(VALUE(LEFT(D371,FIND(" - ",D371)-1)), "")</f>
        <v/>
      </c>
      <c r="F370" s="5">
        <f>IFERROR(VLOOKUP(E371,Product_Master!A:D,4,FALSE)&amp;"", "")</f>
        <v/>
      </c>
      <c r="G370" s="6" t="n"/>
      <c r="H370" s="6" t="n"/>
      <c r="I370" s="6" t="n"/>
      <c r="J370" s="7">
        <f>IF(OR(G371="",G371=0), "", IFERROR(I371/G371, ""))</f>
        <v/>
      </c>
      <c r="K370" s="6" t="n"/>
      <c r="L370" s="3" t="n"/>
    </row>
    <row r="371" ht="20.1" customHeight="1">
      <c r="A371" s="1" t="n"/>
      <c r="B371" s="2" t="n"/>
      <c r="C371" s="2" t="n"/>
      <c r="D371" s="3" t="n"/>
      <c r="E371" s="4">
        <f>IFERROR(VALUE(LEFT(D372,FIND(" - ",D372)-1)), "")</f>
        <v/>
      </c>
      <c r="F371" s="5">
        <f>IFERROR(VLOOKUP(E372,Product_Master!A:D,4,FALSE)&amp;"", "")</f>
        <v/>
      </c>
      <c r="G371" s="6" t="n"/>
      <c r="H371" s="6" t="n"/>
      <c r="I371" s="6" t="n"/>
      <c r="J371" s="7">
        <f>IF(OR(G372="",G372=0), "", IFERROR(I372/G372, ""))</f>
        <v/>
      </c>
      <c r="K371" s="6" t="n"/>
      <c r="L371" s="3" t="n"/>
    </row>
    <row r="372" ht="20.1" customHeight="1">
      <c r="A372" s="1" t="n"/>
      <c r="B372" s="2" t="n"/>
      <c r="C372" s="2" t="n"/>
      <c r="D372" s="3" t="n"/>
      <c r="E372" s="4">
        <f>IFERROR(VALUE(LEFT(D373,FIND(" - ",D373)-1)), "")</f>
        <v/>
      </c>
      <c r="F372" s="5">
        <f>IFERROR(VLOOKUP(E373,Product_Master!A:D,4,FALSE)&amp;"", "")</f>
        <v/>
      </c>
      <c r="G372" s="6" t="n"/>
      <c r="H372" s="6" t="n"/>
      <c r="I372" s="6" t="n"/>
      <c r="J372" s="7">
        <f>IF(OR(G373="",G373=0), "", IFERROR(I373/G373, ""))</f>
        <v/>
      </c>
      <c r="K372" s="6" t="n"/>
      <c r="L372" s="3" t="n"/>
    </row>
    <row r="373" ht="20.1" customHeight="1">
      <c r="A373" s="1" t="n"/>
      <c r="B373" s="2" t="n"/>
      <c r="C373" s="2" t="n"/>
      <c r="D373" s="3" t="n"/>
      <c r="E373" s="4">
        <f>IFERROR(VALUE(LEFT(D374,FIND(" - ",D374)-1)), "")</f>
        <v/>
      </c>
      <c r="F373" s="5">
        <f>IFERROR(VLOOKUP(E374,Product_Master!A:D,4,FALSE)&amp;"", "")</f>
        <v/>
      </c>
      <c r="G373" s="6" t="n"/>
      <c r="H373" s="6" t="n"/>
      <c r="I373" s="6" t="n"/>
      <c r="J373" s="7">
        <f>IF(OR(G374="",G374=0), "", IFERROR(I374/G374, ""))</f>
        <v/>
      </c>
      <c r="K373" s="6" t="n"/>
      <c r="L373" s="3" t="n"/>
    </row>
    <row r="374" ht="20.1" customHeight="1">
      <c r="A374" s="1" t="n"/>
      <c r="B374" s="2" t="n"/>
      <c r="C374" s="2" t="n"/>
      <c r="D374" s="3" t="n"/>
      <c r="E374" s="4">
        <f>IFERROR(VALUE(LEFT(D375,FIND(" - ",D375)-1)), "")</f>
        <v/>
      </c>
      <c r="F374" s="5">
        <f>IFERROR(VLOOKUP(E375,Product_Master!A:D,4,FALSE)&amp;"", "")</f>
        <v/>
      </c>
      <c r="G374" s="6" t="n"/>
      <c r="H374" s="6" t="n"/>
      <c r="I374" s="6" t="n"/>
      <c r="J374" s="7">
        <f>IF(OR(G375="",G375=0), "", IFERROR(I375/G375, ""))</f>
        <v/>
      </c>
      <c r="K374" s="6" t="n"/>
      <c r="L374" s="3" t="n"/>
    </row>
    <row r="375" ht="20.1" customHeight="1">
      <c r="A375" s="1" t="n"/>
      <c r="B375" s="2" t="n"/>
      <c r="C375" s="2" t="n"/>
      <c r="D375" s="3" t="n"/>
      <c r="E375" s="4">
        <f>IFERROR(VALUE(LEFT(D376,FIND(" - ",D376)-1)), "")</f>
        <v/>
      </c>
      <c r="F375" s="5">
        <f>IFERROR(VLOOKUP(E376,Product_Master!A:D,4,FALSE)&amp;"", "")</f>
        <v/>
      </c>
      <c r="G375" s="6" t="n"/>
      <c r="H375" s="6" t="n"/>
      <c r="I375" s="6" t="n"/>
      <c r="J375" s="7">
        <f>IF(OR(G376="",G376=0), "", IFERROR(I376/G376, ""))</f>
        <v/>
      </c>
      <c r="K375" s="6" t="n"/>
      <c r="L375" s="3" t="n"/>
    </row>
    <row r="376" ht="20.1" customHeight="1">
      <c r="A376" s="1" t="n"/>
      <c r="B376" s="2" t="n"/>
      <c r="C376" s="2" t="n"/>
      <c r="D376" s="3" t="n"/>
      <c r="E376" s="4">
        <f>IFERROR(VALUE(LEFT(D377,FIND(" - ",D377)-1)), "")</f>
        <v/>
      </c>
      <c r="F376" s="5">
        <f>IFERROR(VLOOKUP(E377,Product_Master!A:D,4,FALSE)&amp;"", "")</f>
        <v/>
      </c>
      <c r="G376" s="6" t="n"/>
      <c r="H376" s="6" t="n"/>
      <c r="I376" s="6" t="n"/>
      <c r="J376" s="7">
        <f>IF(OR(G377="",G377=0), "", IFERROR(I377/G377, ""))</f>
        <v/>
      </c>
      <c r="K376" s="6" t="n"/>
      <c r="L376" s="3" t="n"/>
    </row>
    <row r="377" ht="20.1" customHeight="1">
      <c r="A377" s="1" t="n"/>
      <c r="B377" s="2" t="n"/>
      <c r="C377" s="2" t="n"/>
      <c r="D377" s="3" t="n"/>
      <c r="E377" s="4">
        <f>IFERROR(VALUE(LEFT(D378,FIND(" - ",D378)-1)), "")</f>
        <v/>
      </c>
      <c r="F377" s="5">
        <f>IFERROR(VLOOKUP(E378,Product_Master!A:D,4,FALSE)&amp;"", "")</f>
        <v/>
      </c>
      <c r="G377" s="6" t="n"/>
      <c r="H377" s="6" t="n"/>
      <c r="I377" s="6" t="n"/>
      <c r="J377" s="7">
        <f>IF(OR(G378="",G378=0), "", IFERROR(I378/G378, ""))</f>
        <v/>
      </c>
      <c r="K377" s="6" t="n"/>
      <c r="L377" s="3" t="n"/>
    </row>
    <row r="378" ht="20.1" customHeight="1">
      <c r="A378" s="1" t="n"/>
      <c r="B378" s="2" t="n"/>
      <c r="C378" s="2" t="n"/>
      <c r="D378" s="3" t="n"/>
      <c r="E378" s="4">
        <f>IFERROR(VALUE(LEFT(D379,FIND(" - ",D379)-1)), "")</f>
        <v/>
      </c>
      <c r="F378" s="5">
        <f>IFERROR(VLOOKUP(E379,Product_Master!A:D,4,FALSE)&amp;"", "")</f>
        <v/>
      </c>
      <c r="G378" s="6" t="n"/>
      <c r="H378" s="6" t="n"/>
      <c r="I378" s="6" t="n"/>
      <c r="J378" s="7">
        <f>IF(OR(G379="",G379=0), "", IFERROR(I379/G379, ""))</f>
        <v/>
      </c>
      <c r="K378" s="6" t="n"/>
      <c r="L378" s="3" t="n"/>
    </row>
    <row r="379" ht="20.1" customHeight="1">
      <c r="A379" s="1" t="n"/>
      <c r="B379" s="2" t="n"/>
      <c r="C379" s="2" t="n"/>
      <c r="D379" s="3" t="n"/>
      <c r="E379" s="4">
        <f>IFERROR(VALUE(LEFT(D380,FIND(" - ",D380)-1)), "")</f>
        <v/>
      </c>
      <c r="F379" s="5">
        <f>IFERROR(VLOOKUP(E380,Product_Master!A:D,4,FALSE)&amp;"", "")</f>
        <v/>
      </c>
      <c r="G379" s="6" t="n"/>
      <c r="H379" s="6" t="n"/>
      <c r="I379" s="6" t="n"/>
      <c r="J379" s="7">
        <f>IF(OR(G380="",G380=0), "", IFERROR(I380/G380, ""))</f>
        <v/>
      </c>
      <c r="K379" s="6" t="n"/>
      <c r="L379" s="3" t="n"/>
    </row>
    <row r="380" ht="20.1" customHeight="1">
      <c r="A380" s="1" t="n"/>
      <c r="B380" s="2" t="n"/>
      <c r="C380" s="2" t="n"/>
      <c r="D380" s="3" t="n"/>
      <c r="E380" s="4">
        <f>IFERROR(VALUE(LEFT(D381,FIND(" - ",D381)-1)), "")</f>
        <v/>
      </c>
      <c r="F380" s="5">
        <f>IFERROR(VLOOKUP(E381,Product_Master!A:D,4,FALSE)&amp;"", "")</f>
        <v/>
      </c>
      <c r="G380" s="6" t="n"/>
      <c r="H380" s="6" t="n"/>
      <c r="I380" s="6" t="n"/>
      <c r="J380" s="7">
        <f>IF(OR(G381="",G381=0), "", IFERROR(I381/G381, ""))</f>
        <v/>
      </c>
      <c r="K380" s="6" t="n"/>
      <c r="L380" s="3" t="n"/>
    </row>
    <row r="381" ht="20.1" customHeight="1">
      <c r="A381" s="1" t="n"/>
      <c r="B381" s="2" t="n"/>
      <c r="C381" s="2" t="n"/>
      <c r="D381" s="3" t="n"/>
      <c r="E381" s="4">
        <f>IFERROR(VALUE(LEFT(D382,FIND(" - ",D382)-1)), "")</f>
        <v/>
      </c>
      <c r="F381" s="5">
        <f>IFERROR(VLOOKUP(E382,Product_Master!A:D,4,FALSE)&amp;"", "")</f>
        <v/>
      </c>
      <c r="G381" s="6" t="n"/>
      <c r="H381" s="6" t="n"/>
      <c r="I381" s="6" t="n"/>
      <c r="J381" s="7">
        <f>IF(OR(G382="",G382=0), "", IFERROR(I382/G382, ""))</f>
        <v/>
      </c>
      <c r="K381" s="6" t="n"/>
      <c r="L381" s="3" t="n"/>
    </row>
    <row r="382" ht="20.1" customHeight="1">
      <c r="A382" s="1" t="n"/>
      <c r="B382" s="2" t="n"/>
      <c r="C382" s="2" t="n"/>
      <c r="D382" s="3" t="n"/>
      <c r="E382" s="4">
        <f>IFERROR(VALUE(LEFT(D383,FIND(" - ",D383)-1)), "")</f>
        <v/>
      </c>
      <c r="F382" s="5">
        <f>IFERROR(VLOOKUP(E383,Product_Master!A:D,4,FALSE)&amp;"", "")</f>
        <v/>
      </c>
      <c r="G382" s="6" t="n"/>
      <c r="H382" s="6" t="n"/>
      <c r="I382" s="6" t="n"/>
      <c r="J382" s="7">
        <f>IF(OR(G383="",G383=0), "", IFERROR(I383/G383, ""))</f>
        <v/>
      </c>
      <c r="K382" s="6" t="n"/>
      <c r="L382" s="3" t="n"/>
    </row>
    <row r="383" ht="20.1" customHeight="1">
      <c r="A383" s="1" t="n"/>
      <c r="B383" s="2" t="n"/>
      <c r="C383" s="2" t="n"/>
      <c r="D383" s="3" t="n"/>
      <c r="E383" s="4">
        <f>IFERROR(VALUE(LEFT(D384,FIND(" - ",D384)-1)), "")</f>
        <v/>
      </c>
      <c r="F383" s="5">
        <f>IFERROR(VLOOKUP(E384,Product_Master!A:D,4,FALSE)&amp;"", "")</f>
        <v/>
      </c>
      <c r="G383" s="6" t="n"/>
      <c r="H383" s="6" t="n"/>
      <c r="I383" s="6" t="n"/>
      <c r="J383" s="7">
        <f>IF(OR(G384="",G384=0), "", IFERROR(I384/G384, ""))</f>
        <v/>
      </c>
      <c r="K383" s="6" t="n"/>
      <c r="L383" s="3" t="n"/>
    </row>
    <row r="384" ht="20.1" customHeight="1">
      <c r="A384" s="1" t="n"/>
      <c r="B384" s="2" t="n"/>
      <c r="C384" s="2" t="n"/>
      <c r="D384" s="3" t="n"/>
      <c r="E384" s="4">
        <f>IFERROR(VALUE(LEFT(D385,FIND(" - ",D385)-1)), "")</f>
        <v/>
      </c>
      <c r="F384" s="5">
        <f>IFERROR(VLOOKUP(E385,Product_Master!A:D,4,FALSE)&amp;"", "")</f>
        <v/>
      </c>
      <c r="G384" s="6" t="n"/>
      <c r="H384" s="6" t="n"/>
      <c r="I384" s="6" t="n"/>
      <c r="J384" s="7">
        <f>IF(OR(G385="",G385=0), "", IFERROR(I385/G385, ""))</f>
        <v/>
      </c>
      <c r="K384" s="6" t="n"/>
      <c r="L384" s="3" t="n"/>
    </row>
    <row r="385" ht="20.1" customHeight="1">
      <c r="A385" s="1" t="n"/>
      <c r="B385" s="2" t="n"/>
      <c r="C385" s="2" t="n"/>
      <c r="D385" s="3" t="n"/>
      <c r="E385" s="4">
        <f>IFERROR(VALUE(LEFT(D386,FIND(" - ",D386)-1)), "")</f>
        <v/>
      </c>
      <c r="F385" s="5">
        <f>IFERROR(VLOOKUP(E386,Product_Master!A:D,4,FALSE)&amp;"", "")</f>
        <v/>
      </c>
      <c r="G385" s="6" t="n"/>
      <c r="H385" s="6" t="n"/>
      <c r="I385" s="6" t="n"/>
      <c r="J385" s="7">
        <f>IF(OR(G386="",G386=0), "", IFERROR(I386/G386, ""))</f>
        <v/>
      </c>
      <c r="K385" s="6" t="n"/>
      <c r="L385" s="3" t="n"/>
    </row>
    <row r="386" ht="20.1" customHeight="1">
      <c r="A386" s="1" t="n"/>
      <c r="B386" s="2" t="n"/>
      <c r="C386" s="2" t="n"/>
      <c r="D386" s="3" t="n"/>
      <c r="E386" s="4">
        <f>IFERROR(VALUE(LEFT(D387,FIND(" - ",D387)-1)), "")</f>
        <v/>
      </c>
      <c r="F386" s="5">
        <f>IFERROR(VLOOKUP(E387,Product_Master!A:D,4,FALSE)&amp;"", "")</f>
        <v/>
      </c>
      <c r="G386" s="6" t="n"/>
      <c r="H386" s="6" t="n"/>
      <c r="I386" s="6" t="n"/>
      <c r="J386" s="7">
        <f>IF(OR(G387="",G387=0), "", IFERROR(I387/G387, ""))</f>
        <v/>
      </c>
      <c r="K386" s="6" t="n"/>
      <c r="L386" s="3" t="n"/>
    </row>
    <row r="387" ht="20.1" customHeight="1">
      <c r="A387" s="1" t="n"/>
      <c r="B387" s="2" t="n"/>
      <c r="C387" s="2" t="n"/>
      <c r="D387" s="3" t="n"/>
      <c r="E387" s="4">
        <f>IFERROR(VALUE(LEFT(D388,FIND(" - ",D388)-1)), "")</f>
        <v/>
      </c>
      <c r="F387" s="5">
        <f>IFERROR(VLOOKUP(E388,Product_Master!A:D,4,FALSE)&amp;"", "")</f>
        <v/>
      </c>
      <c r="G387" s="6" t="n"/>
      <c r="H387" s="6" t="n"/>
      <c r="I387" s="6" t="n"/>
      <c r="J387" s="7">
        <f>IF(OR(G388="",G388=0), "", IFERROR(I388/G388, ""))</f>
        <v/>
      </c>
      <c r="K387" s="6" t="n"/>
      <c r="L387" s="3" t="n"/>
    </row>
    <row r="388" ht="20.1" customHeight="1">
      <c r="A388" s="1" t="n"/>
      <c r="B388" s="2" t="n"/>
      <c r="C388" s="2" t="n"/>
      <c r="D388" s="3" t="n"/>
      <c r="E388" s="4">
        <f>IFERROR(VALUE(LEFT(D389,FIND(" - ",D389)-1)), "")</f>
        <v/>
      </c>
      <c r="F388" s="5">
        <f>IFERROR(VLOOKUP(E389,Product_Master!A:D,4,FALSE)&amp;"", "")</f>
        <v/>
      </c>
      <c r="G388" s="6" t="n"/>
      <c r="H388" s="6" t="n"/>
      <c r="I388" s="6" t="n"/>
      <c r="J388" s="7">
        <f>IF(OR(G389="",G389=0), "", IFERROR(I389/G389, ""))</f>
        <v/>
      </c>
      <c r="K388" s="6" t="n"/>
      <c r="L388" s="3" t="n"/>
    </row>
    <row r="389" ht="20.1" customHeight="1">
      <c r="A389" s="1" t="n"/>
      <c r="B389" s="2" t="n"/>
      <c r="C389" s="2" t="n"/>
      <c r="D389" s="3" t="n"/>
      <c r="E389" s="4">
        <f>IFERROR(VALUE(LEFT(D390,FIND(" - ",D390)-1)), "")</f>
        <v/>
      </c>
      <c r="F389" s="5">
        <f>IFERROR(VLOOKUP(E390,Product_Master!A:D,4,FALSE)&amp;"", "")</f>
        <v/>
      </c>
      <c r="G389" s="6" t="n"/>
      <c r="H389" s="6" t="n"/>
      <c r="I389" s="6" t="n"/>
      <c r="J389" s="7">
        <f>IF(OR(G390="",G390=0), "", IFERROR(I390/G390, ""))</f>
        <v/>
      </c>
      <c r="K389" s="6" t="n"/>
      <c r="L389" s="3" t="n"/>
    </row>
    <row r="390" ht="20.1" customHeight="1">
      <c r="A390" s="1" t="n"/>
      <c r="B390" s="2" t="n"/>
      <c r="C390" s="2" t="n"/>
      <c r="D390" s="3" t="n"/>
      <c r="E390" s="4">
        <f>IFERROR(VALUE(LEFT(D391,FIND(" - ",D391)-1)), "")</f>
        <v/>
      </c>
      <c r="F390" s="5">
        <f>IFERROR(VLOOKUP(E391,Product_Master!A:D,4,FALSE)&amp;"", "")</f>
        <v/>
      </c>
      <c r="G390" s="6" t="n"/>
      <c r="H390" s="6" t="n"/>
      <c r="I390" s="6" t="n"/>
      <c r="J390" s="7">
        <f>IF(OR(G391="",G391=0), "", IFERROR(I391/G391, ""))</f>
        <v/>
      </c>
      <c r="K390" s="6" t="n"/>
      <c r="L390" s="3" t="n"/>
    </row>
    <row r="391" ht="20.1" customHeight="1">
      <c r="A391" s="1" t="n"/>
      <c r="B391" s="2" t="n"/>
      <c r="C391" s="2" t="n"/>
      <c r="D391" s="3" t="n"/>
      <c r="E391" s="4">
        <f>IFERROR(VALUE(LEFT(D392,FIND(" - ",D392)-1)), "")</f>
        <v/>
      </c>
      <c r="F391" s="5">
        <f>IFERROR(VLOOKUP(E392,Product_Master!A:D,4,FALSE)&amp;"", "")</f>
        <v/>
      </c>
      <c r="G391" s="6" t="n"/>
      <c r="H391" s="6" t="n"/>
      <c r="I391" s="6" t="n"/>
      <c r="J391" s="7">
        <f>IF(OR(G392="",G392=0), "", IFERROR(I392/G392, ""))</f>
        <v/>
      </c>
      <c r="K391" s="6" t="n"/>
      <c r="L391" s="3" t="n"/>
    </row>
    <row r="392" ht="20.1" customHeight="1">
      <c r="A392" s="1" t="n"/>
      <c r="B392" s="2" t="n"/>
      <c r="C392" s="2" t="n"/>
      <c r="D392" s="3" t="n"/>
      <c r="E392" s="4">
        <f>IFERROR(VALUE(LEFT(D393,FIND(" - ",D393)-1)), "")</f>
        <v/>
      </c>
      <c r="F392" s="5">
        <f>IFERROR(VLOOKUP(E393,Product_Master!A:D,4,FALSE)&amp;"", "")</f>
        <v/>
      </c>
      <c r="G392" s="6" t="n"/>
      <c r="H392" s="6" t="n"/>
      <c r="I392" s="6" t="n"/>
      <c r="J392" s="7">
        <f>IF(OR(G393="",G393=0), "", IFERROR(I393/G393, ""))</f>
        <v/>
      </c>
      <c r="K392" s="6" t="n"/>
      <c r="L392" s="3" t="n"/>
    </row>
    <row r="393" ht="20.1" customHeight="1">
      <c r="A393" s="1" t="n"/>
      <c r="B393" s="2" t="n"/>
      <c r="C393" s="2" t="n"/>
      <c r="D393" s="3" t="n"/>
      <c r="E393" s="4">
        <f>IFERROR(VALUE(LEFT(D394,FIND(" - ",D394)-1)), "")</f>
        <v/>
      </c>
      <c r="F393" s="5">
        <f>IFERROR(VLOOKUP(E394,Product_Master!A:D,4,FALSE)&amp;"", "")</f>
        <v/>
      </c>
      <c r="G393" s="6" t="n"/>
      <c r="H393" s="6" t="n"/>
      <c r="I393" s="6" t="n"/>
      <c r="J393" s="7">
        <f>IF(OR(G394="",G394=0), "", IFERROR(I394/G394, ""))</f>
        <v/>
      </c>
      <c r="K393" s="6" t="n"/>
      <c r="L393" s="3" t="n"/>
    </row>
    <row r="394" ht="20.1" customHeight="1">
      <c r="A394" s="1" t="n"/>
      <c r="B394" s="2" t="n"/>
      <c r="C394" s="2" t="n"/>
      <c r="D394" s="3" t="n"/>
      <c r="E394" s="4">
        <f>IFERROR(VALUE(LEFT(D395,FIND(" - ",D395)-1)), "")</f>
        <v/>
      </c>
      <c r="F394" s="5">
        <f>IFERROR(VLOOKUP(E395,Product_Master!A:D,4,FALSE)&amp;"", "")</f>
        <v/>
      </c>
      <c r="G394" s="6" t="n"/>
      <c r="H394" s="6" t="n"/>
      <c r="I394" s="6" t="n"/>
      <c r="J394" s="7">
        <f>IF(OR(G395="",G395=0), "", IFERROR(I395/G395, ""))</f>
        <v/>
      </c>
      <c r="K394" s="6" t="n"/>
      <c r="L394" s="3" t="n"/>
    </row>
    <row r="395" ht="20.1" customHeight="1">
      <c r="A395" s="1" t="n"/>
      <c r="B395" s="2" t="n"/>
      <c r="C395" s="2" t="n"/>
      <c r="D395" s="3" t="n"/>
      <c r="E395" s="4">
        <f>IFERROR(VALUE(LEFT(D396,FIND(" - ",D396)-1)), "")</f>
        <v/>
      </c>
      <c r="F395" s="5">
        <f>IFERROR(VLOOKUP(E396,Product_Master!A:D,4,FALSE)&amp;"", "")</f>
        <v/>
      </c>
      <c r="G395" s="6" t="n"/>
      <c r="H395" s="6" t="n"/>
      <c r="I395" s="6" t="n"/>
      <c r="J395" s="7">
        <f>IF(OR(G396="",G396=0), "", IFERROR(I396/G396, ""))</f>
        <v/>
      </c>
      <c r="K395" s="6" t="n"/>
      <c r="L395" s="3" t="n"/>
    </row>
    <row r="396" ht="20.1" customHeight="1">
      <c r="A396" s="1" t="n"/>
      <c r="B396" s="2" t="n"/>
      <c r="C396" s="2" t="n"/>
      <c r="D396" s="3" t="n"/>
      <c r="E396" s="4">
        <f>IFERROR(VALUE(LEFT(D397,FIND(" - ",D397)-1)), "")</f>
        <v/>
      </c>
      <c r="F396" s="5">
        <f>IFERROR(VLOOKUP(E397,Product_Master!A:D,4,FALSE)&amp;"", "")</f>
        <v/>
      </c>
      <c r="G396" s="6" t="n"/>
      <c r="H396" s="6" t="n"/>
      <c r="I396" s="6" t="n"/>
      <c r="J396" s="7">
        <f>IF(OR(G397="",G397=0), "", IFERROR(I397/G397, ""))</f>
        <v/>
      </c>
      <c r="K396" s="6" t="n"/>
      <c r="L396" s="3" t="n"/>
    </row>
    <row r="397" ht="20.1" customHeight="1">
      <c r="A397" s="1" t="n"/>
      <c r="B397" s="2" t="n"/>
      <c r="C397" s="2" t="n"/>
      <c r="D397" s="3" t="n"/>
      <c r="E397" s="4">
        <f>IFERROR(VALUE(LEFT(D398,FIND(" - ",D398)-1)), "")</f>
        <v/>
      </c>
      <c r="F397" s="5">
        <f>IFERROR(VLOOKUP(E398,Product_Master!A:D,4,FALSE)&amp;"", "")</f>
        <v/>
      </c>
      <c r="G397" s="6" t="n"/>
      <c r="H397" s="6" t="n"/>
      <c r="I397" s="6" t="n"/>
      <c r="J397" s="7">
        <f>IF(OR(G398="",G398=0), "", IFERROR(I398/G398, ""))</f>
        <v/>
      </c>
      <c r="K397" s="6" t="n"/>
      <c r="L397" s="3" t="n"/>
    </row>
    <row r="398" ht="20.1" customHeight="1">
      <c r="A398" s="1" t="n"/>
      <c r="B398" s="2" t="n"/>
      <c r="C398" s="2" t="n"/>
      <c r="D398" s="3" t="n"/>
      <c r="E398" s="4">
        <f>IFERROR(VALUE(LEFT(D399,FIND(" - ",D399)-1)), "")</f>
        <v/>
      </c>
      <c r="F398" s="5">
        <f>IFERROR(VLOOKUP(E399,Product_Master!A:D,4,FALSE)&amp;"", "")</f>
        <v/>
      </c>
      <c r="G398" s="6" t="n"/>
      <c r="H398" s="6" t="n"/>
      <c r="I398" s="6" t="n"/>
      <c r="J398" s="7">
        <f>IF(OR(G399="",G399=0), "", IFERROR(I399/G399, ""))</f>
        <v/>
      </c>
      <c r="K398" s="6" t="n"/>
      <c r="L398" s="3" t="n"/>
    </row>
    <row r="399" ht="20.1" customHeight="1">
      <c r="A399" s="1" t="n"/>
      <c r="B399" s="2" t="n"/>
      <c r="C399" s="2" t="n"/>
      <c r="D399" s="3" t="n"/>
      <c r="E399" s="4">
        <f>IFERROR(VALUE(LEFT(D400,FIND(" - ",D400)-1)), "")</f>
        <v/>
      </c>
      <c r="F399" s="5">
        <f>IFERROR(VLOOKUP(E400,Product_Master!A:D,4,FALSE)&amp;"", "")</f>
        <v/>
      </c>
      <c r="G399" s="6" t="n"/>
      <c r="H399" s="6" t="n"/>
      <c r="I399" s="6" t="n"/>
      <c r="J399" s="7">
        <f>IF(OR(G400="",G400=0), "", IFERROR(I400/G400, ""))</f>
        <v/>
      </c>
      <c r="K399" s="6" t="n"/>
      <c r="L399" s="3" t="n"/>
    </row>
    <row r="400" ht="20.1" customHeight="1">
      <c r="A400" s="1" t="n"/>
      <c r="B400" s="2" t="n"/>
      <c r="C400" s="2" t="n"/>
      <c r="D400" s="3" t="n"/>
      <c r="E400" s="4">
        <f>IFERROR(VALUE(LEFT(D401,FIND(" - ",D401)-1)), "")</f>
        <v/>
      </c>
      <c r="F400" s="5">
        <f>IFERROR(VLOOKUP(E401,Product_Master!A:D,4,FALSE)&amp;"", "")</f>
        <v/>
      </c>
      <c r="G400" s="6" t="n"/>
      <c r="H400" s="6" t="n"/>
      <c r="I400" s="6" t="n"/>
      <c r="J400" s="7">
        <f>IF(OR(G401="",G401=0), "", IFERROR(I401/G401, ""))</f>
        <v/>
      </c>
      <c r="K400" s="6" t="n"/>
      <c r="L400" s="3" t="n"/>
    </row>
    <row r="401" ht="20.1" customHeight="1">
      <c r="A401" s="1" t="n"/>
      <c r="B401" s="2" t="n"/>
      <c r="C401" s="2" t="n"/>
      <c r="D401" s="3" t="n"/>
      <c r="E401" s="4">
        <f>IFERROR(VALUE(LEFT(D402,FIND(" - ",D402)-1)), "")</f>
        <v/>
      </c>
      <c r="F401" s="5">
        <f>IFERROR(VLOOKUP(E402,Product_Master!A:D,4,FALSE)&amp;"", "")</f>
        <v/>
      </c>
      <c r="G401" s="6" t="n"/>
      <c r="H401" s="6" t="n"/>
      <c r="I401" s="6" t="n"/>
      <c r="J401" s="7">
        <f>IF(OR(G402="",G402=0), "", IFERROR(I402/G402, ""))</f>
        <v/>
      </c>
      <c r="K401" s="6" t="n"/>
      <c r="L401" s="3" t="n"/>
    </row>
    <row r="402" ht="20.1" customHeight="1">
      <c r="A402" s="1" t="n"/>
      <c r="B402" s="2" t="n"/>
      <c r="C402" s="2" t="n"/>
      <c r="D402" s="3" t="n"/>
      <c r="E402" s="4">
        <f>IFERROR(VALUE(LEFT(D403,FIND(" - ",D403)-1)), "")</f>
        <v/>
      </c>
      <c r="F402" s="5">
        <f>IFERROR(VLOOKUP(E403,Product_Master!A:D,4,FALSE)&amp;"", "")</f>
        <v/>
      </c>
      <c r="G402" s="6" t="n"/>
      <c r="H402" s="6" t="n"/>
      <c r="I402" s="6" t="n"/>
      <c r="J402" s="7">
        <f>IF(OR(G403="",G403=0), "", IFERROR(I403/G403, ""))</f>
        <v/>
      </c>
      <c r="K402" s="6" t="n"/>
      <c r="L402" s="3" t="n"/>
    </row>
    <row r="403" ht="20.1" customHeight="1">
      <c r="A403" s="1" t="n"/>
      <c r="B403" s="2" t="n"/>
      <c r="C403" s="2" t="n"/>
      <c r="D403" s="3" t="n"/>
      <c r="E403" s="4">
        <f>IFERROR(VALUE(LEFT(D404,FIND(" - ",D404)-1)), "")</f>
        <v/>
      </c>
      <c r="F403" s="5">
        <f>IFERROR(VLOOKUP(E404,Product_Master!A:D,4,FALSE)&amp;"", "")</f>
        <v/>
      </c>
      <c r="G403" s="6" t="n"/>
      <c r="H403" s="6" t="n"/>
      <c r="I403" s="6" t="n"/>
      <c r="J403" s="7">
        <f>IF(OR(G404="",G404=0), "", IFERROR(I404/G404, ""))</f>
        <v/>
      </c>
      <c r="K403" s="6" t="n"/>
      <c r="L403" s="3" t="n"/>
    </row>
    <row r="404" ht="20.1" customHeight="1">
      <c r="A404" s="1" t="n"/>
      <c r="B404" s="2" t="n"/>
      <c r="C404" s="2" t="n"/>
      <c r="D404" s="3" t="n"/>
      <c r="E404" s="4">
        <f>IFERROR(VALUE(LEFT(D405,FIND(" - ",D405)-1)), "")</f>
        <v/>
      </c>
      <c r="F404" s="5">
        <f>IFERROR(VLOOKUP(E405,Product_Master!A:D,4,FALSE)&amp;"", "")</f>
        <v/>
      </c>
      <c r="G404" s="6" t="n"/>
      <c r="H404" s="6" t="n"/>
      <c r="I404" s="6" t="n"/>
      <c r="J404" s="7">
        <f>IF(OR(G405="",G405=0), "", IFERROR(I405/G405, ""))</f>
        <v/>
      </c>
      <c r="K404" s="6" t="n"/>
      <c r="L404" s="3" t="n"/>
    </row>
    <row r="405" ht="20.1" customHeight="1">
      <c r="A405" s="1" t="n"/>
      <c r="B405" s="2" t="n"/>
      <c r="C405" s="2" t="n"/>
      <c r="D405" s="3" t="n"/>
      <c r="E405" s="4">
        <f>IFERROR(VALUE(LEFT(D406,FIND(" - ",D406)-1)), "")</f>
        <v/>
      </c>
      <c r="F405" s="5">
        <f>IFERROR(VLOOKUP(E406,Product_Master!A:D,4,FALSE)&amp;"", "")</f>
        <v/>
      </c>
      <c r="G405" s="6" t="n"/>
      <c r="H405" s="6" t="n"/>
      <c r="I405" s="6" t="n"/>
      <c r="J405" s="7">
        <f>IF(OR(G406="",G406=0), "", IFERROR(I406/G406, ""))</f>
        <v/>
      </c>
      <c r="K405" s="6" t="n"/>
      <c r="L405" s="3" t="n"/>
    </row>
    <row r="406" ht="20.1" customHeight="1">
      <c r="A406" s="1" t="n"/>
      <c r="B406" s="2" t="n"/>
      <c r="C406" s="2" t="n"/>
      <c r="D406" s="3" t="n"/>
      <c r="E406" s="4">
        <f>IFERROR(VALUE(LEFT(D407,FIND(" - ",D407)-1)), "")</f>
        <v/>
      </c>
      <c r="F406" s="5">
        <f>IFERROR(VLOOKUP(E407,Product_Master!A:D,4,FALSE)&amp;"", "")</f>
        <v/>
      </c>
      <c r="G406" s="6" t="n"/>
      <c r="H406" s="6" t="n"/>
      <c r="I406" s="6" t="n"/>
      <c r="J406" s="7">
        <f>IF(OR(G407="",G407=0), "", IFERROR(I407/G407, ""))</f>
        <v/>
      </c>
      <c r="K406" s="6" t="n"/>
      <c r="L406" s="3" t="n"/>
    </row>
    <row r="407" ht="20.1" customHeight="1">
      <c r="A407" s="1" t="n"/>
      <c r="B407" s="2" t="n"/>
      <c r="C407" s="2" t="n"/>
      <c r="D407" s="3" t="n"/>
      <c r="E407" s="4">
        <f>IFERROR(VALUE(LEFT(D408,FIND(" - ",D408)-1)), "")</f>
        <v/>
      </c>
      <c r="F407" s="5">
        <f>IFERROR(VLOOKUP(E408,Product_Master!A:D,4,FALSE)&amp;"", "")</f>
        <v/>
      </c>
      <c r="G407" s="6" t="n"/>
      <c r="H407" s="6" t="n"/>
      <c r="I407" s="6" t="n"/>
      <c r="J407" s="7">
        <f>IF(OR(G408="",G408=0), "", IFERROR(I408/G408, ""))</f>
        <v/>
      </c>
      <c r="K407" s="6" t="n"/>
      <c r="L407" s="3" t="n"/>
    </row>
    <row r="408" ht="20.1" customHeight="1">
      <c r="A408" s="1" t="n"/>
      <c r="B408" s="2" t="n"/>
      <c r="C408" s="2" t="n"/>
      <c r="D408" s="3" t="n"/>
      <c r="E408" s="4">
        <f>IFERROR(VALUE(LEFT(D409,FIND(" - ",D409)-1)), "")</f>
        <v/>
      </c>
      <c r="F408" s="5">
        <f>IFERROR(VLOOKUP(E409,Product_Master!A:D,4,FALSE)&amp;"", "")</f>
        <v/>
      </c>
      <c r="G408" s="6" t="n"/>
      <c r="H408" s="6" t="n"/>
      <c r="I408" s="6" t="n"/>
      <c r="J408" s="7">
        <f>IF(OR(G409="",G409=0), "", IFERROR(I409/G409, ""))</f>
        <v/>
      </c>
      <c r="K408" s="6" t="n"/>
      <c r="L408" s="3" t="n"/>
    </row>
    <row r="409" ht="20.1" customHeight="1">
      <c r="A409" s="1" t="n"/>
      <c r="B409" s="2" t="n"/>
      <c r="C409" s="2" t="n"/>
      <c r="D409" s="3" t="n"/>
      <c r="E409" s="4">
        <f>IFERROR(VALUE(LEFT(D410,FIND(" - ",D410)-1)), "")</f>
        <v/>
      </c>
      <c r="F409" s="5">
        <f>IFERROR(VLOOKUP(E410,Product_Master!A:D,4,FALSE)&amp;"", "")</f>
        <v/>
      </c>
      <c r="G409" s="6" t="n"/>
      <c r="H409" s="6" t="n"/>
      <c r="I409" s="6" t="n"/>
      <c r="J409" s="7">
        <f>IF(OR(G410="",G410=0), "", IFERROR(I410/G410, ""))</f>
        <v/>
      </c>
      <c r="K409" s="6" t="n"/>
      <c r="L409" s="3" t="n"/>
    </row>
    <row r="410" ht="20.1" customHeight="1">
      <c r="A410" s="1" t="n"/>
      <c r="B410" s="2" t="n"/>
      <c r="C410" s="2" t="n"/>
      <c r="D410" s="3" t="n"/>
      <c r="E410" s="4">
        <f>IFERROR(VALUE(LEFT(D411,FIND(" - ",D411)-1)), "")</f>
        <v/>
      </c>
      <c r="F410" s="5">
        <f>IFERROR(VLOOKUP(E411,Product_Master!A:D,4,FALSE)&amp;"", "")</f>
        <v/>
      </c>
      <c r="G410" s="6" t="n"/>
      <c r="H410" s="6" t="n"/>
      <c r="I410" s="6" t="n"/>
      <c r="J410" s="7">
        <f>IF(OR(G411="",G411=0), "", IFERROR(I411/G411, ""))</f>
        <v/>
      </c>
      <c r="K410" s="6" t="n"/>
      <c r="L410" s="3" t="n"/>
    </row>
    <row r="411" ht="20.1" customHeight="1">
      <c r="A411" s="1" t="n"/>
      <c r="B411" s="2" t="n"/>
      <c r="C411" s="2" t="n"/>
      <c r="D411" s="3" t="n"/>
      <c r="E411" s="4">
        <f>IFERROR(VALUE(LEFT(D412,FIND(" - ",D412)-1)), "")</f>
        <v/>
      </c>
      <c r="F411" s="5">
        <f>IFERROR(VLOOKUP(E412,Product_Master!A:D,4,FALSE)&amp;"", "")</f>
        <v/>
      </c>
      <c r="G411" s="6" t="n"/>
      <c r="H411" s="6" t="n"/>
      <c r="I411" s="6" t="n"/>
      <c r="J411" s="7">
        <f>IF(OR(G412="",G412=0), "", IFERROR(I412/G412, ""))</f>
        <v/>
      </c>
      <c r="K411" s="6" t="n"/>
      <c r="L411" s="3" t="n"/>
    </row>
    <row r="412" ht="20.1" customHeight="1">
      <c r="A412" s="1" t="n"/>
      <c r="B412" s="2" t="n"/>
      <c r="C412" s="2" t="n"/>
      <c r="D412" s="3" t="n"/>
      <c r="E412" s="4">
        <f>IFERROR(VALUE(LEFT(D413,FIND(" - ",D413)-1)), "")</f>
        <v/>
      </c>
      <c r="F412" s="5">
        <f>IFERROR(VLOOKUP(E413,Product_Master!A:D,4,FALSE)&amp;"", "")</f>
        <v/>
      </c>
      <c r="G412" s="6" t="n"/>
      <c r="H412" s="6" t="n"/>
      <c r="I412" s="6" t="n"/>
      <c r="J412" s="7">
        <f>IF(OR(G413="",G413=0), "", IFERROR(I413/G413, ""))</f>
        <v/>
      </c>
      <c r="K412" s="6" t="n"/>
      <c r="L412" s="3" t="n"/>
    </row>
    <row r="413" ht="20.1" customHeight="1">
      <c r="A413" s="1" t="n"/>
      <c r="B413" s="2" t="n"/>
      <c r="C413" s="2" t="n"/>
      <c r="D413" s="3" t="n"/>
      <c r="E413" s="4">
        <f>IFERROR(VALUE(LEFT(D414,FIND(" - ",D414)-1)), "")</f>
        <v/>
      </c>
      <c r="F413" s="5">
        <f>IFERROR(VLOOKUP(E414,Product_Master!A:D,4,FALSE)&amp;"", "")</f>
        <v/>
      </c>
      <c r="G413" s="6" t="n"/>
      <c r="H413" s="6" t="n"/>
      <c r="I413" s="6" t="n"/>
      <c r="J413" s="7">
        <f>IF(OR(G414="",G414=0), "", IFERROR(I414/G414, ""))</f>
        <v/>
      </c>
      <c r="K413" s="6" t="n"/>
      <c r="L413" s="3" t="n"/>
    </row>
    <row r="414" ht="20.1" customHeight="1">
      <c r="A414" s="1" t="n"/>
      <c r="B414" s="2" t="n"/>
      <c r="C414" s="2" t="n"/>
      <c r="D414" s="3" t="n"/>
      <c r="E414" s="4">
        <f>IFERROR(VALUE(LEFT(D415,FIND(" - ",D415)-1)), "")</f>
        <v/>
      </c>
      <c r="F414" s="5">
        <f>IFERROR(VLOOKUP(E415,Product_Master!A:D,4,FALSE)&amp;"", "")</f>
        <v/>
      </c>
      <c r="G414" s="6" t="n"/>
      <c r="H414" s="6" t="n"/>
      <c r="I414" s="6" t="n"/>
      <c r="J414" s="7">
        <f>IF(OR(G415="",G415=0), "", IFERROR(I415/G415, ""))</f>
        <v/>
      </c>
      <c r="K414" s="6" t="n"/>
      <c r="L414" s="3" t="n"/>
    </row>
    <row r="415" ht="20.1" customHeight="1">
      <c r="A415" s="1" t="n"/>
      <c r="B415" s="2" t="n"/>
      <c r="C415" s="2" t="n"/>
      <c r="D415" s="3" t="n"/>
      <c r="E415" s="4">
        <f>IFERROR(VALUE(LEFT(D416,FIND(" - ",D416)-1)), "")</f>
        <v/>
      </c>
      <c r="F415" s="5">
        <f>IFERROR(VLOOKUP(E416,Product_Master!A:D,4,FALSE)&amp;"", "")</f>
        <v/>
      </c>
      <c r="G415" s="6" t="n"/>
      <c r="H415" s="6" t="n"/>
      <c r="I415" s="6" t="n"/>
      <c r="J415" s="7">
        <f>IF(OR(G416="",G416=0), "", IFERROR(I416/G416, ""))</f>
        <v/>
      </c>
      <c r="K415" s="6" t="n"/>
      <c r="L415" s="3" t="n"/>
    </row>
    <row r="416" ht="20.1" customHeight="1">
      <c r="A416" s="1" t="n"/>
      <c r="B416" s="2" t="n"/>
      <c r="C416" s="2" t="n"/>
      <c r="D416" s="3" t="n"/>
      <c r="E416" s="4">
        <f>IFERROR(VALUE(LEFT(D417,FIND(" - ",D417)-1)), "")</f>
        <v/>
      </c>
      <c r="F416" s="5">
        <f>IFERROR(VLOOKUP(E417,Product_Master!A:D,4,FALSE)&amp;"", "")</f>
        <v/>
      </c>
      <c r="G416" s="6" t="n"/>
      <c r="H416" s="6" t="n"/>
      <c r="I416" s="6" t="n"/>
      <c r="J416" s="7">
        <f>IF(OR(G417="",G417=0), "", IFERROR(I417/G417, ""))</f>
        <v/>
      </c>
      <c r="K416" s="6" t="n"/>
      <c r="L416" s="3" t="n"/>
    </row>
    <row r="417" ht="20.1" customHeight="1">
      <c r="A417" s="1" t="n"/>
      <c r="B417" s="2" t="n"/>
      <c r="C417" s="2" t="n"/>
      <c r="D417" s="3" t="n"/>
      <c r="E417" s="4">
        <f>IFERROR(VALUE(LEFT(D418,FIND(" - ",D418)-1)), "")</f>
        <v/>
      </c>
      <c r="F417" s="5">
        <f>IFERROR(VLOOKUP(E418,Product_Master!A:D,4,FALSE)&amp;"", "")</f>
        <v/>
      </c>
      <c r="G417" s="6" t="n"/>
      <c r="H417" s="6" t="n"/>
      <c r="I417" s="6" t="n"/>
      <c r="J417" s="7">
        <f>IF(OR(G418="",G418=0), "", IFERROR(I418/G418, ""))</f>
        <v/>
      </c>
      <c r="K417" s="6" t="n"/>
      <c r="L417" s="3" t="n"/>
    </row>
    <row r="418" ht="20.1" customHeight="1">
      <c r="A418" s="1" t="n"/>
      <c r="B418" s="2" t="n"/>
      <c r="C418" s="2" t="n"/>
      <c r="D418" s="3" t="n"/>
      <c r="E418" s="4">
        <f>IFERROR(VALUE(LEFT(D419,FIND(" - ",D419)-1)), "")</f>
        <v/>
      </c>
      <c r="F418" s="5">
        <f>IFERROR(VLOOKUP(E419,Product_Master!A:D,4,FALSE)&amp;"", "")</f>
        <v/>
      </c>
      <c r="G418" s="6" t="n"/>
      <c r="H418" s="6" t="n"/>
      <c r="I418" s="6" t="n"/>
      <c r="J418" s="7">
        <f>IF(OR(G419="",G419=0), "", IFERROR(I419/G419, ""))</f>
        <v/>
      </c>
      <c r="K418" s="6" t="n"/>
      <c r="L418" s="3" t="n"/>
    </row>
    <row r="419" ht="20.1" customHeight="1">
      <c r="A419" s="1" t="n"/>
      <c r="B419" s="2" t="n"/>
      <c r="C419" s="2" t="n"/>
      <c r="D419" s="3" t="n"/>
      <c r="E419" s="4">
        <f>IFERROR(VALUE(LEFT(D420,FIND(" - ",D420)-1)), "")</f>
        <v/>
      </c>
      <c r="F419" s="5">
        <f>IFERROR(VLOOKUP(E420,Product_Master!A:D,4,FALSE)&amp;"", "")</f>
        <v/>
      </c>
      <c r="G419" s="6" t="n"/>
      <c r="H419" s="6" t="n"/>
      <c r="I419" s="6" t="n"/>
      <c r="J419" s="7">
        <f>IF(OR(G420="",G420=0), "", IFERROR(I420/G420, ""))</f>
        <v/>
      </c>
      <c r="K419" s="6" t="n"/>
      <c r="L419" s="3" t="n"/>
    </row>
    <row r="420" ht="20.1" customHeight="1">
      <c r="A420" s="1" t="n"/>
      <c r="B420" s="2" t="n"/>
      <c r="C420" s="2" t="n"/>
      <c r="D420" s="3" t="n"/>
      <c r="E420" s="4">
        <f>IFERROR(VALUE(LEFT(D421,FIND(" - ",D421)-1)), "")</f>
        <v/>
      </c>
      <c r="F420" s="5">
        <f>IFERROR(VLOOKUP(E421,Product_Master!A:D,4,FALSE)&amp;"", "")</f>
        <v/>
      </c>
      <c r="G420" s="6" t="n"/>
      <c r="H420" s="6" t="n"/>
      <c r="I420" s="6" t="n"/>
      <c r="J420" s="7">
        <f>IF(OR(G421="",G421=0), "", IFERROR(I421/G421, ""))</f>
        <v/>
      </c>
      <c r="K420" s="6" t="n"/>
      <c r="L420" s="3" t="n"/>
    </row>
    <row r="421" ht="20.1" customHeight="1">
      <c r="A421" s="1" t="n"/>
      <c r="B421" s="2" t="n"/>
      <c r="C421" s="2" t="n"/>
      <c r="D421" s="3" t="n"/>
      <c r="E421" s="4">
        <f>IFERROR(VALUE(LEFT(D422,FIND(" - ",D422)-1)), "")</f>
        <v/>
      </c>
      <c r="F421" s="5">
        <f>IFERROR(VLOOKUP(E422,Product_Master!A:D,4,FALSE)&amp;"", "")</f>
        <v/>
      </c>
      <c r="G421" s="6" t="n"/>
      <c r="H421" s="6" t="n"/>
      <c r="I421" s="6" t="n"/>
      <c r="J421" s="7">
        <f>IF(OR(G422="",G422=0), "", IFERROR(I422/G422, ""))</f>
        <v/>
      </c>
      <c r="K421" s="6" t="n"/>
      <c r="L421" s="3" t="n"/>
    </row>
    <row r="422" ht="20.1" customHeight="1">
      <c r="A422" s="1" t="n"/>
      <c r="B422" s="2" t="n"/>
      <c r="C422" s="2" t="n"/>
      <c r="D422" s="3" t="n"/>
      <c r="E422" s="4">
        <f>IFERROR(VALUE(LEFT(D423,FIND(" - ",D423)-1)), "")</f>
        <v/>
      </c>
      <c r="F422" s="5">
        <f>IFERROR(VLOOKUP(E423,Product_Master!A:D,4,FALSE)&amp;"", "")</f>
        <v/>
      </c>
      <c r="G422" s="6" t="n"/>
      <c r="H422" s="6" t="n"/>
      <c r="I422" s="6" t="n"/>
      <c r="J422" s="7">
        <f>IF(OR(G423="",G423=0), "", IFERROR(I423/G423, ""))</f>
        <v/>
      </c>
      <c r="K422" s="6" t="n"/>
      <c r="L422" s="3" t="n"/>
    </row>
    <row r="423" ht="20.1" customHeight="1">
      <c r="A423" s="1" t="n"/>
      <c r="B423" s="2" t="n"/>
      <c r="C423" s="2" t="n"/>
      <c r="D423" s="3" t="n"/>
      <c r="E423" s="4">
        <f>IFERROR(VALUE(LEFT(D424,FIND(" - ",D424)-1)), "")</f>
        <v/>
      </c>
      <c r="F423" s="5">
        <f>IFERROR(VLOOKUP(E424,Product_Master!A:D,4,FALSE)&amp;"", "")</f>
        <v/>
      </c>
      <c r="G423" s="6" t="n"/>
      <c r="H423" s="6" t="n"/>
      <c r="I423" s="6" t="n"/>
      <c r="J423" s="7">
        <f>IF(OR(G424="",G424=0), "", IFERROR(I424/G424, ""))</f>
        <v/>
      </c>
      <c r="K423" s="6" t="n"/>
      <c r="L423" s="3" t="n"/>
    </row>
    <row r="424" ht="20.1" customHeight="1">
      <c r="A424" s="1" t="n"/>
      <c r="B424" s="2" t="n"/>
      <c r="C424" s="2" t="n"/>
      <c r="D424" s="3" t="n"/>
      <c r="E424" s="4">
        <f>IFERROR(VALUE(LEFT(D425,FIND(" - ",D425)-1)), "")</f>
        <v/>
      </c>
      <c r="F424" s="5">
        <f>IFERROR(VLOOKUP(E425,Product_Master!A:D,4,FALSE)&amp;"", "")</f>
        <v/>
      </c>
      <c r="G424" s="6" t="n"/>
      <c r="H424" s="6" t="n"/>
      <c r="I424" s="6" t="n"/>
      <c r="J424" s="7">
        <f>IF(OR(G425="",G425=0), "", IFERROR(I425/G425, ""))</f>
        <v/>
      </c>
      <c r="K424" s="6" t="n"/>
      <c r="L424" s="3" t="n"/>
    </row>
    <row r="425" ht="20.1" customHeight="1">
      <c r="A425" s="1" t="n"/>
      <c r="B425" s="2" t="n"/>
      <c r="C425" s="2" t="n"/>
      <c r="D425" s="3" t="n"/>
      <c r="E425" s="4">
        <f>IFERROR(VALUE(LEFT(D426,FIND(" - ",D426)-1)), "")</f>
        <v/>
      </c>
      <c r="F425" s="5">
        <f>IFERROR(VLOOKUP(E426,Product_Master!A:D,4,FALSE)&amp;"", "")</f>
        <v/>
      </c>
      <c r="G425" s="6" t="n"/>
      <c r="H425" s="6" t="n"/>
      <c r="I425" s="6" t="n"/>
      <c r="J425" s="7">
        <f>IF(OR(G426="",G426=0), "", IFERROR(I426/G426, ""))</f>
        <v/>
      </c>
      <c r="K425" s="6" t="n"/>
      <c r="L425" s="3" t="n"/>
    </row>
    <row r="426" ht="20.1" customHeight="1">
      <c r="A426" s="1" t="n"/>
      <c r="B426" s="2" t="n"/>
      <c r="C426" s="2" t="n"/>
      <c r="D426" s="3" t="n"/>
      <c r="E426" s="4">
        <f>IFERROR(VALUE(LEFT(D427,FIND(" - ",D427)-1)), "")</f>
        <v/>
      </c>
      <c r="F426" s="5">
        <f>IFERROR(VLOOKUP(E427,Product_Master!A:D,4,FALSE)&amp;"", "")</f>
        <v/>
      </c>
      <c r="G426" s="6" t="n"/>
      <c r="H426" s="6" t="n"/>
      <c r="I426" s="6" t="n"/>
      <c r="J426" s="7">
        <f>IF(OR(G427="",G427=0), "", IFERROR(I427/G427, ""))</f>
        <v/>
      </c>
      <c r="K426" s="6" t="n"/>
      <c r="L426" s="3" t="n"/>
    </row>
    <row r="427" ht="20.1" customHeight="1">
      <c r="A427" s="1" t="n"/>
      <c r="B427" s="2" t="n"/>
      <c r="C427" s="2" t="n"/>
      <c r="D427" s="3" t="n"/>
      <c r="E427" s="4">
        <f>IFERROR(VALUE(LEFT(D428,FIND(" - ",D428)-1)), "")</f>
        <v/>
      </c>
      <c r="F427" s="5">
        <f>IFERROR(VLOOKUP(E428,Product_Master!A:D,4,FALSE)&amp;"", "")</f>
        <v/>
      </c>
      <c r="G427" s="6" t="n"/>
      <c r="H427" s="6" t="n"/>
      <c r="I427" s="6" t="n"/>
      <c r="J427" s="7">
        <f>IF(OR(G428="",G428=0), "", IFERROR(I428/G428, ""))</f>
        <v/>
      </c>
      <c r="K427" s="6" t="n"/>
      <c r="L427" s="3" t="n"/>
    </row>
    <row r="428" ht="20.1" customHeight="1">
      <c r="A428" s="1" t="n"/>
      <c r="B428" s="2" t="n"/>
      <c r="C428" s="2" t="n"/>
      <c r="D428" s="3" t="n"/>
      <c r="E428" s="4">
        <f>IFERROR(VALUE(LEFT(D429,FIND(" - ",D429)-1)), "")</f>
        <v/>
      </c>
      <c r="F428" s="5">
        <f>IFERROR(VLOOKUP(E429,Product_Master!A:D,4,FALSE)&amp;"", "")</f>
        <v/>
      </c>
      <c r="G428" s="6" t="n"/>
      <c r="H428" s="6" t="n"/>
      <c r="I428" s="6" t="n"/>
      <c r="J428" s="7">
        <f>IF(OR(G429="",G429=0), "", IFERROR(I429/G429, ""))</f>
        <v/>
      </c>
      <c r="K428" s="6" t="n"/>
      <c r="L428" s="3" t="n"/>
    </row>
    <row r="429" ht="20.1" customHeight="1">
      <c r="A429" s="1" t="n"/>
      <c r="B429" s="2" t="n"/>
      <c r="C429" s="2" t="n"/>
      <c r="D429" s="3" t="n"/>
      <c r="E429" s="4">
        <f>IFERROR(VALUE(LEFT(D430,FIND(" - ",D430)-1)), "")</f>
        <v/>
      </c>
      <c r="F429" s="5">
        <f>IFERROR(VLOOKUP(E430,Product_Master!A:D,4,FALSE)&amp;"", "")</f>
        <v/>
      </c>
      <c r="G429" s="6" t="n"/>
      <c r="H429" s="6" t="n"/>
      <c r="I429" s="6" t="n"/>
      <c r="J429" s="7">
        <f>IF(OR(G430="",G430=0), "", IFERROR(I430/G430, ""))</f>
        <v/>
      </c>
      <c r="K429" s="6" t="n"/>
      <c r="L429" s="3" t="n"/>
    </row>
    <row r="430" ht="20.1" customHeight="1">
      <c r="A430" s="1" t="n"/>
      <c r="B430" s="2" t="n"/>
      <c r="C430" s="2" t="n"/>
      <c r="D430" s="3" t="n"/>
      <c r="E430" s="4">
        <f>IFERROR(VALUE(LEFT(D431,FIND(" - ",D431)-1)), "")</f>
        <v/>
      </c>
      <c r="F430" s="5">
        <f>IFERROR(VLOOKUP(E431,Product_Master!A:D,4,FALSE)&amp;"", "")</f>
        <v/>
      </c>
      <c r="G430" s="6" t="n"/>
      <c r="H430" s="6" t="n"/>
      <c r="I430" s="6" t="n"/>
      <c r="J430" s="7">
        <f>IF(OR(G431="",G431=0), "", IFERROR(I431/G431, ""))</f>
        <v/>
      </c>
      <c r="K430" s="6" t="n"/>
      <c r="L430" s="3" t="n"/>
    </row>
    <row r="431" ht="20.1" customHeight="1">
      <c r="A431" s="1" t="n"/>
      <c r="B431" s="2" t="n"/>
      <c r="C431" s="2" t="n"/>
      <c r="D431" s="3" t="n"/>
      <c r="E431" s="4">
        <f>IFERROR(VALUE(LEFT(D432,FIND(" - ",D432)-1)), "")</f>
        <v/>
      </c>
      <c r="F431" s="5">
        <f>IFERROR(VLOOKUP(E432,Product_Master!A:D,4,FALSE)&amp;"", "")</f>
        <v/>
      </c>
      <c r="G431" s="6" t="n"/>
      <c r="H431" s="6" t="n"/>
      <c r="I431" s="6" t="n"/>
      <c r="J431" s="7">
        <f>IF(OR(G432="",G432=0), "", IFERROR(I432/G432, ""))</f>
        <v/>
      </c>
      <c r="K431" s="6" t="n"/>
      <c r="L431" s="3" t="n"/>
    </row>
    <row r="432" ht="20.1" customHeight="1">
      <c r="A432" s="1" t="n"/>
      <c r="B432" s="2" t="n"/>
      <c r="C432" s="2" t="n"/>
      <c r="D432" s="3" t="n"/>
      <c r="E432" s="4">
        <f>IFERROR(VALUE(LEFT(D433,FIND(" - ",D433)-1)), "")</f>
        <v/>
      </c>
      <c r="F432" s="5">
        <f>IFERROR(VLOOKUP(E433,Product_Master!A:D,4,FALSE)&amp;"", "")</f>
        <v/>
      </c>
      <c r="G432" s="6" t="n"/>
      <c r="H432" s="6" t="n"/>
      <c r="I432" s="6" t="n"/>
      <c r="J432" s="7">
        <f>IF(OR(G433="",G433=0), "", IFERROR(I433/G433, ""))</f>
        <v/>
      </c>
      <c r="K432" s="6" t="n"/>
      <c r="L432" s="3" t="n"/>
    </row>
    <row r="433" ht="20.1" customHeight="1">
      <c r="A433" s="1" t="n"/>
      <c r="B433" s="2" t="n"/>
      <c r="C433" s="2" t="n"/>
      <c r="D433" s="3" t="n"/>
      <c r="E433" s="4">
        <f>IFERROR(VALUE(LEFT(D434,FIND(" - ",D434)-1)), "")</f>
        <v/>
      </c>
      <c r="F433" s="5">
        <f>IFERROR(VLOOKUP(E434,Product_Master!A:D,4,FALSE)&amp;"", "")</f>
        <v/>
      </c>
      <c r="G433" s="6" t="n"/>
      <c r="H433" s="6" t="n"/>
      <c r="I433" s="6" t="n"/>
      <c r="J433" s="7">
        <f>IF(OR(G434="",G434=0), "", IFERROR(I434/G434, ""))</f>
        <v/>
      </c>
      <c r="K433" s="6" t="n"/>
      <c r="L433" s="3" t="n"/>
    </row>
    <row r="434" ht="20.1" customHeight="1">
      <c r="A434" s="1" t="n"/>
      <c r="B434" s="2" t="n"/>
      <c r="C434" s="2" t="n"/>
      <c r="D434" s="3" t="n"/>
      <c r="E434" s="4">
        <f>IFERROR(VALUE(LEFT(D435,FIND(" - ",D435)-1)), "")</f>
        <v/>
      </c>
      <c r="F434" s="5">
        <f>IFERROR(VLOOKUP(E435,Product_Master!A:D,4,FALSE)&amp;"", "")</f>
        <v/>
      </c>
      <c r="G434" s="6" t="n"/>
      <c r="H434" s="6" t="n"/>
      <c r="I434" s="6" t="n"/>
      <c r="J434" s="7">
        <f>IF(OR(G435="",G435=0), "", IFERROR(I435/G435, ""))</f>
        <v/>
      </c>
      <c r="K434" s="6" t="n"/>
      <c r="L434" s="3" t="n"/>
    </row>
    <row r="435" ht="20.1" customHeight="1">
      <c r="A435" s="1" t="n"/>
      <c r="B435" s="2" t="n"/>
      <c r="C435" s="2" t="n"/>
      <c r="D435" s="3" t="n"/>
      <c r="E435" s="4">
        <f>IFERROR(VALUE(LEFT(D436,FIND(" - ",D436)-1)), "")</f>
        <v/>
      </c>
      <c r="F435" s="5">
        <f>IFERROR(VLOOKUP(E436,Product_Master!A:D,4,FALSE)&amp;"", "")</f>
        <v/>
      </c>
      <c r="G435" s="6" t="n"/>
      <c r="H435" s="6" t="n"/>
      <c r="I435" s="6" t="n"/>
      <c r="J435" s="7">
        <f>IF(OR(G436="",G436=0), "", IFERROR(I436/G436, ""))</f>
        <v/>
      </c>
      <c r="K435" s="6" t="n"/>
      <c r="L435" s="3" t="n"/>
    </row>
    <row r="436" ht="20.1" customHeight="1">
      <c r="A436" s="1" t="n"/>
      <c r="B436" s="2" t="n"/>
      <c r="C436" s="2" t="n"/>
      <c r="D436" s="3" t="n"/>
      <c r="E436" s="4">
        <f>IFERROR(VALUE(LEFT(D437,FIND(" - ",D437)-1)), "")</f>
        <v/>
      </c>
      <c r="F436" s="5">
        <f>IFERROR(VLOOKUP(E437,Product_Master!A:D,4,FALSE)&amp;"", "")</f>
        <v/>
      </c>
      <c r="G436" s="6" t="n"/>
      <c r="H436" s="6" t="n"/>
      <c r="I436" s="6" t="n"/>
      <c r="J436" s="7">
        <f>IF(OR(G437="",G437=0), "", IFERROR(I437/G437, ""))</f>
        <v/>
      </c>
      <c r="K436" s="6" t="n"/>
      <c r="L436" s="3" t="n"/>
    </row>
    <row r="437" ht="20.1" customHeight="1">
      <c r="A437" s="1" t="n"/>
      <c r="B437" s="2" t="n"/>
      <c r="C437" s="2" t="n"/>
      <c r="D437" s="3" t="n"/>
      <c r="E437" s="4">
        <f>IFERROR(VALUE(LEFT(D438,FIND(" - ",D438)-1)), "")</f>
        <v/>
      </c>
      <c r="F437" s="5">
        <f>IFERROR(VLOOKUP(E438,Product_Master!A:D,4,FALSE)&amp;"", "")</f>
        <v/>
      </c>
      <c r="G437" s="6" t="n"/>
      <c r="H437" s="6" t="n"/>
      <c r="I437" s="6" t="n"/>
      <c r="J437" s="7">
        <f>IF(OR(G438="",G438=0), "", IFERROR(I438/G438, ""))</f>
        <v/>
      </c>
      <c r="K437" s="6" t="n"/>
      <c r="L437" s="3" t="n"/>
    </row>
    <row r="438" ht="20.1" customHeight="1">
      <c r="A438" s="1" t="n"/>
      <c r="B438" s="2" t="n"/>
      <c r="C438" s="2" t="n"/>
      <c r="D438" s="3" t="n"/>
      <c r="E438" s="4">
        <f>IFERROR(VALUE(LEFT(D439,FIND(" - ",D439)-1)), "")</f>
        <v/>
      </c>
      <c r="F438" s="5">
        <f>IFERROR(VLOOKUP(E439,Product_Master!A:D,4,FALSE)&amp;"", "")</f>
        <v/>
      </c>
      <c r="G438" s="6" t="n"/>
      <c r="H438" s="6" t="n"/>
      <c r="I438" s="6" t="n"/>
      <c r="J438" s="7">
        <f>IF(OR(G439="",G439=0), "", IFERROR(I439/G439, ""))</f>
        <v/>
      </c>
      <c r="K438" s="6" t="n"/>
      <c r="L438" s="3" t="n"/>
    </row>
    <row r="439" ht="20.1" customHeight="1">
      <c r="A439" s="1" t="n"/>
      <c r="B439" s="2" t="n"/>
      <c r="C439" s="2" t="n"/>
      <c r="D439" s="3" t="n"/>
      <c r="E439" s="4">
        <f>IFERROR(VALUE(LEFT(D440,FIND(" - ",D440)-1)), "")</f>
        <v/>
      </c>
      <c r="F439" s="5">
        <f>IFERROR(VLOOKUP(E440,Product_Master!A:D,4,FALSE)&amp;"", "")</f>
        <v/>
      </c>
      <c r="G439" s="6" t="n"/>
      <c r="H439" s="6" t="n"/>
      <c r="I439" s="6" t="n"/>
      <c r="J439" s="7">
        <f>IF(OR(G440="",G440=0), "", IFERROR(I440/G440, ""))</f>
        <v/>
      </c>
      <c r="K439" s="6" t="n"/>
      <c r="L439" s="3" t="n"/>
    </row>
    <row r="440" ht="20.1" customHeight="1">
      <c r="A440" s="1" t="n"/>
      <c r="B440" s="2" t="n"/>
      <c r="C440" s="2" t="n"/>
      <c r="D440" s="3" t="n"/>
      <c r="E440" s="4">
        <f>IFERROR(VALUE(LEFT(D441,FIND(" - ",D441)-1)), "")</f>
        <v/>
      </c>
      <c r="F440" s="5">
        <f>IFERROR(VLOOKUP(E441,Product_Master!A:D,4,FALSE)&amp;"", "")</f>
        <v/>
      </c>
      <c r="G440" s="6" t="n"/>
      <c r="H440" s="6" t="n"/>
      <c r="I440" s="6" t="n"/>
      <c r="J440" s="7">
        <f>IF(OR(G441="",G441=0), "", IFERROR(I441/G441, ""))</f>
        <v/>
      </c>
      <c r="K440" s="6" t="n"/>
      <c r="L440" s="3" t="n"/>
    </row>
    <row r="441" ht="20.1" customHeight="1">
      <c r="A441" s="1" t="n"/>
      <c r="B441" s="2" t="n"/>
      <c r="C441" s="2" t="n"/>
      <c r="D441" s="3" t="n"/>
      <c r="E441" s="4">
        <f>IFERROR(VALUE(LEFT(D442,FIND(" - ",D442)-1)), "")</f>
        <v/>
      </c>
      <c r="F441" s="5">
        <f>IFERROR(VLOOKUP(E442,Product_Master!A:D,4,FALSE)&amp;"", "")</f>
        <v/>
      </c>
      <c r="G441" s="6" t="n"/>
      <c r="H441" s="6" t="n"/>
      <c r="I441" s="6" t="n"/>
      <c r="J441" s="7">
        <f>IF(OR(G442="",G442=0), "", IFERROR(I442/G442, ""))</f>
        <v/>
      </c>
      <c r="K441" s="6" t="n"/>
      <c r="L441" s="3" t="n"/>
    </row>
    <row r="442" ht="20.1" customHeight="1">
      <c r="A442" s="1" t="n"/>
      <c r="B442" s="2" t="n"/>
      <c r="C442" s="2" t="n"/>
      <c r="D442" s="3" t="n"/>
      <c r="E442" s="4">
        <f>IFERROR(VALUE(LEFT(D443,FIND(" - ",D443)-1)), "")</f>
        <v/>
      </c>
      <c r="F442" s="5">
        <f>IFERROR(VLOOKUP(E443,Product_Master!A:D,4,FALSE)&amp;"", "")</f>
        <v/>
      </c>
      <c r="G442" s="6" t="n"/>
      <c r="H442" s="6" t="n"/>
      <c r="I442" s="6" t="n"/>
      <c r="J442" s="7">
        <f>IF(OR(G443="",G443=0), "", IFERROR(I443/G443, ""))</f>
        <v/>
      </c>
      <c r="K442" s="6" t="n"/>
      <c r="L442" s="3" t="n"/>
    </row>
    <row r="443" ht="20.1" customHeight="1">
      <c r="A443" s="1" t="n"/>
      <c r="B443" s="2" t="n"/>
      <c r="C443" s="2" t="n"/>
      <c r="D443" s="3" t="n"/>
      <c r="E443" s="4">
        <f>IFERROR(VALUE(LEFT(D444,FIND(" - ",D444)-1)), "")</f>
        <v/>
      </c>
      <c r="F443" s="5">
        <f>IFERROR(VLOOKUP(E444,Product_Master!A:D,4,FALSE)&amp;"", "")</f>
        <v/>
      </c>
      <c r="G443" s="6" t="n"/>
      <c r="H443" s="6" t="n"/>
      <c r="I443" s="6" t="n"/>
      <c r="J443" s="7">
        <f>IF(OR(G444="",G444=0), "", IFERROR(I444/G444, ""))</f>
        <v/>
      </c>
      <c r="K443" s="6" t="n"/>
      <c r="L443" s="3" t="n"/>
    </row>
    <row r="444" ht="20.1" customHeight="1">
      <c r="A444" s="1" t="n"/>
      <c r="B444" s="2" t="n"/>
      <c r="C444" s="2" t="n"/>
      <c r="D444" s="3" t="n"/>
      <c r="E444" s="4">
        <f>IFERROR(VALUE(LEFT(D445,FIND(" - ",D445)-1)), "")</f>
        <v/>
      </c>
      <c r="F444" s="5">
        <f>IFERROR(VLOOKUP(E445,Product_Master!A:D,4,FALSE)&amp;"", "")</f>
        <v/>
      </c>
      <c r="G444" s="6" t="n"/>
      <c r="H444" s="6" t="n"/>
      <c r="I444" s="6" t="n"/>
      <c r="J444" s="7">
        <f>IF(OR(G445="",G445=0), "", IFERROR(I445/G445, ""))</f>
        <v/>
      </c>
      <c r="K444" s="6" t="n"/>
      <c r="L444" s="3" t="n"/>
    </row>
    <row r="445" ht="20.1" customHeight="1">
      <c r="A445" s="1" t="n"/>
      <c r="B445" s="2" t="n"/>
      <c r="C445" s="2" t="n"/>
      <c r="D445" s="3" t="n"/>
      <c r="E445" s="4">
        <f>IFERROR(VALUE(LEFT(D446,FIND(" - ",D446)-1)), "")</f>
        <v/>
      </c>
      <c r="F445" s="5">
        <f>IFERROR(VLOOKUP(E446,Product_Master!A:D,4,FALSE)&amp;"", "")</f>
        <v/>
      </c>
      <c r="G445" s="6" t="n"/>
      <c r="H445" s="6" t="n"/>
      <c r="I445" s="6" t="n"/>
      <c r="J445" s="7">
        <f>IF(OR(G446="",G446=0), "", IFERROR(I446/G446, ""))</f>
        <v/>
      </c>
      <c r="K445" s="6" t="n"/>
      <c r="L445" s="3" t="n"/>
    </row>
    <row r="446" ht="20.1" customHeight="1">
      <c r="A446" s="1" t="n"/>
      <c r="B446" s="2" t="n"/>
      <c r="C446" s="2" t="n"/>
      <c r="D446" s="3" t="n"/>
      <c r="E446" s="4">
        <f>IFERROR(VALUE(LEFT(D447,FIND(" - ",D447)-1)), "")</f>
        <v/>
      </c>
      <c r="F446" s="5">
        <f>IFERROR(VLOOKUP(E447,Product_Master!A:D,4,FALSE)&amp;"", "")</f>
        <v/>
      </c>
      <c r="G446" s="6" t="n"/>
      <c r="H446" s="6" t="n"/>
      <c r="I446" s="6" t="n"/>
      <c r="J446" s="7">
        <f>IF(OR(G447="",G447=0), "", IFERROR(I447/G447, ""))</f>
        <v/>
      </c>
      <c r="K446" s="6" t="n"/>
      <c r="L446" s="3" t="n"/>
    </row>
    <row r="447" ht="20.1" customHeight="1">
      <c r="A447" s="1" t="n"/>
      <c r="B447" s="2" t="n"/>
      <c r="C447" s="2" t="n"/>
      <c r="D447" s="3" t="n"/>
      <c r="E447" s="4">
        <f>IFERROR(VALUE(LEFT(D448,FIND(" - ",D448)-1)), "")</f>
        <v/>
      </c>
      <c r="F447" s="5">
        <f>IFERROR(VLOOKUP(E448,Product_Master!A:D,4,FALSE)&amp;"", "")</f>
        <v/>
      </c>
      <c r="G447" s="6" t="n"/>
      <c r="H447" s="6" t="n"/>
      <c r="I447" s="6" t="n"/>
      <c r="J447" s="7">
        <f>IF(OR(G448="",G448=0), "", IFERROR(I448/G448, ""))</f>
        <v/>
      </c>
      <c r="K447" s="6" t="n"/>
      <c r="L447" s="3" t="n"/>
    </row>
    <row r="448" ht="20.1" customHeight="1">
      <c r="A448" s="1" t="n"/>
      <c r="B448" s="2" t="n"/>
      <c r="C448" s="2" t="n"/>
      <c r="D448" s="3" t="n"/>
      <c r="E448" s="4">
        <f>IFERROR(VALUE(LEFT(D449,FIND(" - ",D449)-1)), "")</f>
        <v/>
      </c>
      <c r="F448" s="5">
        <f>IFERROR(VLOOKUP(E449,Product_Master!A:D,4,FALSE)&amp;"", "")</f>
        <v/>
      </c>
      <c r="G448" s="6" t="n"/>
      <c r="H448" s="6" t="n"/>
      <c r="I448" s="6" t="n"/>
      <c r="J448" s="7">
        <f>IF(OR(G449="",G449=0), "", IFERROR(I449/G449, ""))</f>
        <v/>
      </c>
      <c r="K448" s="6" t="n"/>
      <c r="L448" s="3" t="n"/>
    </row>
    <row r="449" ht="20.1" customHeight="1">
      <c r="A449" s="1" t="n"/>
      <c r="B449" s="2" t="n"/>
      <c r="C449" s="2" t="n"/>
      <c r="D449" s="3" t="n"/>
      <c r="E449" s="4">
        <f>IFERROR(VALUE(LEFT(D450,FIND(" - ",D450)-1)), "")</f>
        <v/>
      </c>
      <c r="F449" s="5">
        <f>IFERROR(VLOOKUP(E450,Product_Master!A:D,4,FALSE)&amp;"", "")</f>
        <v/>
      </c>
      <c r="G449" s="6" t="n"/>
      <c r="H449" s="6" t="n"/>
      <c r="I449" s="6" t="n"/>
      <c r="J449" s="7">
        <f>IF(OR(G450="",G450=0), "", IFERROR(I450/G450, ""))</f>
        <v/>
      </c>
      <c r="K449" s="6" t="n"/>
      <c r="L449" s="3" t="n"/>
    </row>
    <row r="450" ht="20.1" customHeight="1">
      <c r="A450" s="1" t="n"/>
      <c r="B450" s="2" t="n"/>
      <c r="C450" s="2" t="n"/>
      <c r="D450" s="3" t="n"/>
      <c r="E450" s="4">
        <f>IFERROR(VALUE(LEFT(D451,FIND(" - ",D451)-1)), "")</f>
        <v/>
      </c>
      <c r="F450" s="5">
        <f>IFERROR(VLOOKUP(E451,Product_Master!A:D,4,FALSE)&amp;"", "")</f>
        <v/>
      </c>
      <c r="G450" s="6" t="n"/>
      <c r="H450" s="6" t="n"/>
      <c r="I450" s="6" t="n"/>
      <c r="J450" s="7">
        <f>IF(OR(G451="",G451=0), "", IFERROR(I451/G451, ""))</f>
        <v/>
      </c>
      <c r="K450" s="6" t="n"/>
      <c r="L450" s="3" t="n"/>
    </row>
    <row r="451" ht="20.1" customHeight="1">
      <c r="A451" s="1" t="n"/>
      <c r="B451" s="2" t="n"/>
      <c r="C451" s="2" t="n"/>
      <c r="D451" s="3" t="n"/>
      <c r="E451" s="4">
        <f>IFERROR(VALUE(LEFT(D452,FIND(" - ",D452)-1)), "")</f>
        <v/>
      </c>
      <c r="F451" s="5">
        <f>IFERROR(VLOOKUP(E452,Product_Master!A:D,4,FALSE)&amp;"", "")</f>
        <v/>
      </c>
      <c r="G451" s="6" t="n"/>
      <c r="H451" s="6" t="n"/>
      <c r="I451" s="6" t="n"/>
      <c r="J451" s="7">
        <f>IF(OR(G452="",G452=0), "", IFERROR(I452/G452, ""))</f>
        <v/>
      </c>
      <c r="K451" s="6" t="n"/>
      <c r="L451" s="3" t="n"/>
    </row>
    <row r="452" ht="20.1" customHeight="1">
      <c r="A452" s="1" t="n"/>
      <c r="B452" s="2" t="n"/>
      <c r="C452" s="2" t="n"/>
      <c r="D452" s="3" t="n"/>
      <c r="E452" s="4">
        <f>IFERROR(VALUE(LEFT(D453,FIND(" - ",D453)-1)), "")</f>
        <v/>
      </c>
      <c r="F452" s="5">
        <f>IFERROR(VLOOKUP(E453,Product_Master!A:D,4,FALSE)&amp;"", "")</f>
        <v/>
      </c>
      <c r="G452" s="6" t="n"/>
      <c r="H452" s="6" t="n"/>
      <c r="I452" s="6" t="n"/>
      <c r="J452" s="7">
        <f>IF(OR(G453="",G453=0), "", IFERROR(I453/G453, ""))</f>
        <v/>
      </c>
      <c r="K452" s="6" t="n"/>
      <c r="L452" s="3" t="n"/>
    </row>
    <row r="453" ht="20.1" customHeight="1">
      <c r="A453" s="1" t="n"/>
      <c r="B453" s="2" t="n"/>
      <c r="C453" s="2" t="n"/>
      <c r="D453" s="3" t="n"/>
      <c r="E453" s="4">
        <f>IFERROR(VALUE(LEFT(D454,FIND(" - ",D454)-1)), "")</f>
        <v/>
      </c>
      <c r="F453" s="5">
        <f>IFERROR(VLOOKUP(E454,Product_Master!A:D,4,FALSE)&amp;"", "")</f>
        <v/>
      </c>
      <c r="G453" s="6" t="n"/>
      <c r="H453" s="6" t="n"/>
      <c r="I453" s="6" t="n"/>
      <c r="J453" s="7">
        <f>IF(OR(G454="",G454=0), "", IFERROR(I454/G454, ""))</f>
        <v/>
      </c>
      <c r="K453" s="6" t="n"/>
      <c r="L453" s="3" t="n"/>
    </row>
    <row r="454" ht="20.1" customHeight="1">
      <c r="A454" s="1" t="n"/>
      <c r="B454" s="2" t="n"/>
      <c r="C454" s="2" t="n"/>
      <c r="D454" s="3" t="n"/>
      <c r="E454" s="4">
        <f>IFERROR(VALUE(LEFT(D455,FIND(" - ",D455)-1)), "")</f>
        <v/>
      </c>
      <c r="F454" s="5">
        <f>IFERROR(VLOOKUP(E455,Product_Master!A:D,4,FALSE)&amp;"", "")</f>
        <v/>
      </c>
      <c r="G454" s="6" t="n"/>
      <c r="H454" s="6" t="n"/>
      <c r="I454" s="6" t="n"/>
      <c r="J454" s="7">
        <f>IF(OR(G455="",G455=0), "", IFERROR(I455/G455, ""))</f>
        <v/>
      </c>
      <c r="K454" s="6" t="n"/>
      <c r="L454" s="3" t="n"/>
    </row>
    <row r="455" ht="20.1" customHeight="1">
      <c r="A455" s="1" t="n"/>
      <c r="B455" s="2" t="n"/>
      <c r="C455" s="2" t="n"/>
      <c r="D455" s="3" t="n"/>
      <c r="E455" s="4">
        <f>IFERROR(VALUE(LEFT(D456,FIND(" - ",D456)-1)), "")</f>
        <v/>
      </c>
      <c r="F455" s="5">
        <f>IFERROR(VLOOKUP(E456,Product_Master!A:D,4,FALSE)&amp;"", "")</f>
        <v/>
      </c>
      <c r="G455" s="6" t="n"/>
      <c r="H455" s="6" t="n"/>
      <c r="I455" s="6" t="n"/>
      <c r="J455" s="7">
        <f>IF(OR(G456="",G456=0), "", IFERROR(I456/G456, ""))</f>
        <v/>
      </c>
      <c r="K455" s="6" t="n"/>
      <c r="L455" s="3" t="n"/>
    </row>
    <row r="456" ht="20.1" customHeight="1">
      <c r="A456" s="1" t="n"/>
      <c r="B456" s="2" t="n"/>
      <c r="C456" s="2" t="n"/>
      <c r="D456" s="3" t="n"/>
      <c r="E456" s="4">
        <f>IFERROR(VALUE(LEFT(D457,FIND(" - ",D457)-1)), "")</f>
        <v/>
      </c>
      <c r="F456" s="5">
        <f>IFERROR(VLOOKUP(E457,Product_Master!A:D,4,FALSE)&amp;"", "")</f>
        <v/>
      </c>
      <c r="G456" s="6" t="n"/>
      <c r="H456" s="6" t="n"/>
      <c r="I456" s="6" t="n"/>
      <c r="J456" s="7">
        <f>IF(OR(G457="",G457=0), "", IFERROR(I457/G457, ""))</f>
        <v/>
      </c>
      <c r="K456" s="6" t="n"/>
      <c r="L456" s="3" t="n"/>
    </row>
    <row r="457" ht="20.1" customHeight="1">
      <c r="A457" s="1" t="n"/>
      <c r="B457" s="2" t="n"/>
      <c r="C457" s="2" t="n"/>
      <c r="D457" s="3" t="n"/>
      <c r="E457" s="4">
        <f>IFERROR(VALUE(LEFT(D458,FIND(" - ",D458)-1)), "")</f>
        <v/>
      </c>
      <c r="F457" s="5">
        <f>IFERROR(VLOOKUP(E458,Product_Master!A:D,4,FALSE)&amp;"", "")</f>
        <v/>
      </c>
      <c r="G457" s="6" t="n"/>
      <c r="H457" s="6" t="n"/>
      <c r="I457" s="6" t="n"/>
      <c r="J457" s="7">
        <f>IF(OR(G458="",G458=0), "", IFERROR(I458/G458, ""))</f>
        <v/>
      </c>
      <c r="K457" s="6" t="n"/>
      <c r="L457" s="3" t="n"/>
    </row>
    <row r="458" ht="20.1" customHeight="1">
      <c r="A458" s="1" t="n"/>
      <c r="B458" s="2" t="n"/>
      <c r="C458" s="2" t="n"/>
      <c r="D458" s="3" t="n"/>
      <c r="E458" s="4">
        <f>IFERROR(VALUE(LEFT(D459,FIND(" - ",D459)-1)), "")</f>
        <v/>
      </c>
      <c r="F458" s="5">
        <f>IFERROR(VLOOKUP(E459,Product_Master!A:D,4,FALSE)&amp;"", "")</f>
        <v/>
      </c>
      <c r="G458" s="6" t="n"/>
      <c r="H458" s="6" t="n"/>
      <c r="I458" s="6" t="n"/>
      <c r="J458" s="7">
        <f>IF(OR(G459="",G459=0), "", IFERROR(I459/G459, ""))</f>
        <v/>
      </c>
      <c r="K458" s="6" t="n"/>
      <c r="L458" s="3" t="n"/>
    </row>
    <row r="459" ht="20.1" customHeight="1">
      <c r="A459" s="1" t="n"/>
      <c r="B459" s="2" t="n"/>
      <c r="C459" s="2" t="n"/>
      <c r="D459" s="3" t="n"/>
      <c r="E459" s="4">
        <f>IFERROR(VALUE(LEFT(D460,FIND(" - ",D460)-1)), "")</f>
        <v/>
      </c>
      <c r="F459" s="5">
        <f>IFERROR(VLOOKUP(E460,Product_Master!A:D,4,FALSE)&amp;"", "")</f>
        <v/>
      </c>
      <c r="G459" s="6" t="n"/>
      <c r="H459" s="6" t="n"/>
      <c r="I459" s="6" t="n"/>
      <c r="J459" s="7">
        <f>IF(OR(G460="",G460=0), "", IFERROR(I460/G460, ""))</f>
        <v/>
      </c>
      <c r="K459" s="6" t="n"/>
      <c r="L459" s="3" t="n"/>
    </row>
    <row r="460" ht="20.1" customHeight="1">
      <c r="A460" s="1" t="n"/>
      <c r="B460" s="2" t="n"/>
      <c r="C460" s="2" t="n"/>
      <c r="D460" s="3" t="n"/>
      <c r="E460" s="4">
        <f>IFERROR(VALUE(LEFT(D461,FIND(" - ",D461)-1)), "")</f>
        <v/>
      </c>
      <c r="F460" s="5">
        <f>IFERROR(VLOOKUP(E461,Product_Master!A:D,4,FALSE)&amp;"", "")</f>
        <v/>
      </c>
      <c r="G460" s="6" t="n"/>
      <c r="H460" s="6" t="n"/>
      <c r="I460" s="6" t="n"/>
      <c r="J460" s="7">
        <f>IF(OR(G461="",G461=0), "", IFERROR(I461/G461, ""))</f>
        <v/>
      </c>
      <c r="K460" s="6" t="n"/>
      <c r="L460" s="3" t="n"/>
    </row>
    <row r="461" ht="20.1" customHeight="1">
      <c r="A461" s="1" t="n"/>
      <c r="B461" s="2" t="n"/>
      <c r="C461" s="2" t="n"/>
      <c r="D461" s="3" t="n"/>
      <c r="E461" s="4">
        <f>IFERROR(VALUE(LEFT(D462,FIND(" - ",D462)-1)), "")</f>
        <v/>
      </c>
      <c r="F461" s="5">
        <f>IFERROR(VLOOKUP(E462,Product_Master!A:D,4,FALSE)&amp;"", "")</f>
        <v/>
      </c>
      <c r="G461" s="6" t="n"/>
      <c r="H461" s="6" t="n"/>
      <c r="I461" s="6" t="n"/>
      <c r="J461" s="7">
        <f>IF(OR(G462="",G462=0), "", IFERROR(I462/G462, ""))</f>
        <v/>
      </c>
      <c r="K461" s="6" t="n"/>
      <c r="L461" s="3" t="n"/>
    </row>
    <row r="462" ht="20.1" customHeight="1">
      <c r="A462" s="1" t="n"/>
      <c r="B462" s="2" t="n"/>
      <c r="C462" s="2" t="n"/>
      <c r="D462" s="3" t="n"/>
      <c r="E462" s="4">
        <f>IFERROR(VALUE(LEFT(D463,FIND(" - ",D463)-1)), "")</f>
        <v/>
      </c>
      <c r="F462" s="5">
        <f>IFERROR(VLOOKUP(E463,Product_Master!A:D,4,FALSE)&amp;"", "")</f>
        <v/>
      </c>
      <c r="G462" s="6" t="n"/>
      <c r="H462" s="6" t="n"/>
      <c r="I462" s="6" t="n"/>
      <c r="J462" s="7">
        <f>IF(OR(G463="",G463=0), "", IFERROR(I463/G463, ""))</f>
        <v/>
      </c>
      <c r="K462" s="6" t="n"/>
      <c r="L462" s="3" t="n"/>
    </row>
    <row r="463" ht="20.1" customHeight="1">
      <c r="A463" s="1" t="n"/>
      <c r="B463" s="2" t="n"/>
      <c r="C463" s="2" t="n"/>
      <c r="D463" s="3" t="n"/>
      <c r="E463" s="4">
        <f>IFERROR(VALUE(LEFT(D464,FIND(" - ",D464)-1)), "")</f>
        <v/>
      </c>
      <c r="F463" s="5">
        <f>IFERROR(VLOOKUP(E464,Product_Master!A:D,4,FALSE)&amp;"", "")</f>
        <v/>
      </c>
      <c r="G463" s="6" t="n"/>
      <c r="H463" s="6" t="n"/>
      <c r="I463" s="6" t="n"/>
      <c r="J463" s="7">
        <f>IF(OR(G464="",G464=0), "", IFERROR(I464/G464, ""))</f>
        <v/>
      </c>
      <c r="K463" s="6" t="n"/>
      <c r="L463" s="3" t="n"/>
    </row>
    <row r="464" ht="20.1" customHeight="1">
      <c r="A464" s="1" t="n"/>
      <c r="B464" s="2" t="n"/>
      <c r="C464" s="2" t="n"/>
      <c r="D464" s="3" t="n"/>
      <c r="E464" s="4">
        <f>IFERROR(VALUE(LEFT(D465,FIND(" - ",D465)-1)), "")</f>
        <v/>
      </c>
      <c r="F464" s="5">
        <f>IFERROR(VLOOKUP(E465,Product_Master!A:D,4,FALSE)&amp;"", "")</f>
        <v/>
      </c>
      <c r="G464" s="6" t="n"/>
      <c r="H464" s="6" t="n"/>
      <c r="I464" s="6" t="n"/>
      <c r="J464" s="7">
        <f>IF(OR(G465="",G465=0), "", IFERROR(I465/G465, ""))</f>
        <v/>
      </c>
      <c r="K464" s="6" t="n"/>
      <c r="L464" s="3" t="n"/>
    </row>
    <row r="465" ht="20.1" customHeight="1">
      <c r="A465" s="1" t="n"/>
      <c r="B465" s="2" t="n"/>
      <c r="C465" s="2" t="n"/>
      <c r="D465" s="3" t="n"/>
      <c r="E465" s="4">
        <f>IFERROR(VALUE(LEFT(D466,FIND(" - ",D466)-1)), "")</f>
        <v/>
      </c>
      <c r="F465" s="5">
        <f>IFERROR(VLOOKUP(E466,Product_Master!A:D,4,FALSE)&amp;"", "")</f>
        <v/>
      </c>
      <c r="G465" s="6" t="n"/>
      <c r="H465" s="6" t="n"/>
      <c r="I465" s="6" t="n"/>
      <c r="J465" s="7">
        <f>IF(OR(G466="",G466=0), "", IFERROR(I466/G466, ""))</f>
        <v/>
      </c>
      <c r="K465" s="6" t="n"/>
      <c r="L465" s="3" t="n"/>
    </row>
    <row r="466" ht="20.1" customHeight="1">
      <c r="A466" s="1" t="n"/>
      <c r="B466" s="2" t="n"/>
      <c r="C466" s="2" t="n"/>
      <c r="D466" s="3" t="n"/>
      <c r="E466" s="4">
        <f>IFERROR(VALUE(LEFT(D467,FIND(" - ",D467)-1)), "")</f>
        <v/>
      </c>
      <c r="F466" s="5">
        <f>IFERROR(VLOOKUP(E467,Product_Master!A:D,4,FALSE)&amp;"", "")</f>
        <v/>
      </c>
      <c r="G466" s="6" t="n"/>
      <c r="H466" s="6" t="n"/>
      <c r="I466" s="6" t="n"/>
      <c r="J466" s="7">
        <f>IF(OR(G467="",G467=0), "", IFERROR(I467/G467, ""))</f>
        <v/>
      </c>
      <c r="K466" s="6" t="n"/>
      <c r="L466" s="3" t="n"/>
    </row>
    <row r="467" ht="20.1" customHeight="1">
      <c r="A467" s="1" t="n"/>
      <c r="B467" s="2" t="n"/>
      <c r="C467" s="2" t="n"/>
      <c r="D467" s="3" t="n"/>
      <c r="E467" s="4">
        <f>IFERROR(VALUE(LEFT(D468,FIND(" - ",D468)-1)), "")</f>
        <v/>
      </c>
      <c r="F467" s="5">
        <f>IFERROR(VLOOKUP(E468,Product_Master!A:D,4,FALSE)&amp;"", "")</f>
        <v/>
      </c>
      <c r="G467" s="6" t="n"/>
      <c r="H467" s="6" t="n"/>
      <c r="I467" s="6" t="n"/>
      <c r="J467" s="7">
        <f>IF(OR(G468="",G468=0), "", IFERROR(I468/G468, ""))</f>
        <v/>
      </c>
      <c r="K467" s="6" t="n"/>
      <c r="L467" s="3" t="n"/>
    </row>
    <row r="468" ht="20.1" customHeight="1">
      <c r="A468" s="1" t="n"/>
      <c r="B468" s="2" t="n"/>
      <c r="C468" s="2" t="n"/>
      <c r="D468" s="3" t="n"/>
      <c r="E468" s="4">
        <f>IFERROR(VALUE(LEFT(D469,FIND(" - ",D469)-1)), "")</f>
        <v/>
      </c>
      <c r="F468" s="5">
        <f>IFERROR(VLOOKUP(E469,Product_Master!A:D,4,FALSE)&amp;"", "")</f>
        <v/>
      </c>
      <c r="G468" s="6" t="n"/>
      <c r="H468" s="6" t="n"/>
      <c r="I468" s="6" t="n"/>
      <c r="J468" s="7">
        <f>IF(OR(G469="",G469=0), "", IFERROR(I469/G469, ""))</f>
        <v/>
      </c>
      <c r="K468" s="6" t="n"/>
      <c r="L468" s="3" t="n"/>
    </row>
    <row r="469" ht="20.1" customHeight="1">
      <c r="A469" s="1" t="n"/>
      <c r="B469" s="2" t="n"/>
      <c r="C469" s="2" t="n"/>
      <c r="D469" s="3" t="n"/>
      <c r="E469" s="4">
        <f>IFERROR(VALUE(LEFT(D470,FIND(" - ",D470)-1)), "")</f>
        <v/>
      </c>
      <c r="F469" s="5">
        <f>IFERROR(VLOOKUP(E470,Product_Master!A:D,4,FALSE)&amp;"", "")</f>
        <v/>
      </c>
      <c r="G469" s="6" t="n"/>
      <c r="H469" s="6" t="n"/>
      <c r="I469" s="6" t="n"/>
      <c r="J469" s="7">
        <f>IF(OR(G470="",G470=0), "", IFERROR(I470/G470, ""))</f>
        <v/>
      </c>
      <c r="K469" s="6" t="n"/>
      <c r="L469" s="3" t="n"/>
    </row>
    <row r="470" ht="20.1" customHeight="1">
      <c r="A470" s="1" t="n"/>
      <c r="B470" s="2" t="n"/>
      <c r="C470" s="2" t="n"/>
      <c r="D470" s="3" t="n"/>
      <c r="E470" s="4">
        <f>IFERROR(VALUE(LEFT(D471,FIND(" - ",D471)-1)), "")</f>
        <v/>
      </c>
      <c r="F470" s="5">
        <f>IFERROR(VLOOKUP(E471,Product_Master!A:D,4,FALSE)&amp;"", "")</f>
        <v/>
      </c>
      <c r="G470" s="6" t="n"/>
      <c r="H470" s="6" t="n"/>
      <c r="I470" s="6" t="n"/>
      <c r="J470" s="7">
        <f>IF(OR(G471="",G471=0), "", IFERROR(I471/G471, ""))</f>
        <v/>
      </c>
      <c r="K470" s="6" t="n"/>
      <c r="L470" s="3" t="n"/>
    </row>
    <row r="471" ht="20.1" customHeight="1">
      <c r="A471" s="1" t="n"/>
      <c r="B471" s="2" t="n"/>
      <c r="C471" s="2" t="n"/>
      <c r="D471" s="3" t="n"/>
      <c r="E471" s="4">
        <f>IFERROR(VALUE(LEFT(D472,FIND(" - ",D472)-1)), "")</f>
        <v/>
      </c>
      <c r="F471" s="5">
        <f>IFERROR(VLOOKUP(E472,Product_Master!A:D,4,FALSE)&amp;"", "")</f>
        <v/>
      </c>
      <c r="G471" s="6" t="n"/>
      <c r="H471" s="6" t="n"/>
      <c r="I471" s="6" t="n"/>
      <c r="J471" s="7">
        <f>IF(OR(G472="",G472=0), "", IFERROR(I472/G472, ""))</f>
        <v/>
      </c>
      <c r="K471" s="6" t="n"/>
      <c r="L471" s="3" t="n"/>
    </row>
    <row r="472" ht="20.1" customHeight="1">
      <c r="A472" s="1" t="n"/>
      <c r="B472" s="2" t="n"/>
      <c r="C472" s="2" t="n"/>
      <c r="D472" s="3" t="n"/>
      <c r="E472" s="4">
        <f>IFERROR(VALUE(LEFT(D473,FIND(" - ",D473)-1)), "")</f>
        <v/>
      </c>
      <c r="F472" s="5">
        <f>IFERROR(VLOOKUP(E473,Product_Master!A:D,4,FALSE)&amp;"", "")</f>
        <v/>
      </c>
      <c r="G472" s="6" t="n"/>
      <c r="H472" s="6" t="n"/>
      <c r="I472" s="6" t="n"/>
      <c r="J472" s="7">
        <f>IF(OR(G473="",G473=0), "", IFERROR(I473/G473, ""))</f>
        <v/>
      </c>
      <c r="K472" s="6" t="n"/>
      <c r="L472" s="3" t="n"/>
    </row>
    <row r="473" ht="20.1" customHeight="1">
      <c r="A473" s="1" t="n"/>
      <c r="B473" s="2" t="n"/>
      <c r="C473" s="2" t="n"/>
      <c r="D473" s="3" t="n"/>
      <c r="E473" s="4">
        <f>IFERROR(VALUE(LEFT(D474,FIND(" - ",D474)-1)), "")</f>
        <v/>
      </c>
      <c r="F473" s="5">
        <f>IFERROR(VLOOKUP(E474,Product_Master!A:D,4,FALSE)&amp;"", "")</f>
        <v/>
      </c>
      <c r="G473" s="6" t="n"/>
      <c r="H473" s="6" t="n"/>
      <c r="I473" s="6" t="n"/>
      <c r="J473" s="7">
        <f>IF(OR(G474="",G474=0), "", IFERROR(I474/G474, ""))</f>
        <v/>
      </c>
      <c r="K473" s="6" t="n"/>
      <c r="L473" s="3" t="n"/>
    </row>
    <row r="474" ht="20.1" customHeight="1">
      <c r="A474" s="1" t="n"/>
      <c r="B474" s="2" t="n"/>
      <c r="C474" s="2" t="n"/>
      <c r="D474" s="3" t="n"/>
      <c r="E474" s="4">
        <f>IFERROR(VALUE(LEFT(D475,FIND(" - ",D475)-1)), "")</f>
        <v/>
      </c>
      <c r="F474" s="5">
        <f>IFERROR(VLOOKUP(E475,Product_Master!A:D,4,FALSE)&amp;"", "")</f>
        <v/>
      </c>
      <c r="G474" s="6" t="n"/>
      <c r="H474" s="6" t="n"/>
      <c r="I474" s="6" t="n"/>
      <c r="J474" s="7">
        <f>IF(OR(G475="",G475=0), "", IFERROR(I475/G475, ""))</f>
        <v/>
      </c>
      <c r="K474" s="6" t="n"/>
      <c r="L474" s="3" t="n"/>
    </row>
    <row r="475" ht="20.1" customHeight="1">
      <c r="A475" s="1" t="n"/>
      <c r="B475" s="2" t="n"/>
      <c r="C475" s="2" t="n"/>
      <c r="D475" s="3" t="n"/>
      <c r="E475" s="4">
        <f>IFERROR(VALUE(LEFT(D476,FIND(" - ",D476)-1)), "")</f>
        <v/>
      </c>
      <c r="F475" s="5">
        <f>IFERROR(VLOOKUP(E476,Product_Master!A:D,4,FALSE)&amp;"", "")</f>
        <v/>
      </c>
      <c r="G475" s="6" t="n"/>
      <c r="H475" s="6" t="n"/>
      <c r="I475" s="6" t="n"/>
      <c r="J475" s="7">
        <f>IF(OR(G476="",G476=0), "", IFERROR(I476/G476, ""))</f>
        <v/>
      </c>
      <c r="K475" s="6" t="n"/>
      <c r="L475" s="3" t="n"/>
    </row>
    <row r="476" ht="20.1" customHeight="1">
      <c r="A476" s="1" t="n"/>
      <c r="B476" s="2" t="n"/>
      <c r="C476" s="2" t="n"/>
      <c r="D476" s="3" t="n"/>
      <c r="E476" s="4">
        <f>IFERROR(VALUE(LEFT(D477,FIND(" - ",D477)-1)), "")</f>
        <v/>
      </c>
      <c r="F476" s="5">
        <f>IFERROR(VLOOKUP(E477,Product_Master!A:D,4,FALSE)&amp;"", "")</f>
        <v/>
      </c>
      <c r="G476" s="6" t="n"/>
      <c r="H476" s="6" t="n"/>
      <c r="I476" s="6" t="n"/>
      <c r="J476" s="7">
        <f>IF(OR(G477="",G477=0), "", IFERROR(I477/G477, ""))</f>
        <v/>
      </c>
      <c r="K476" s="6" t="n"/>
      <c r="L476" s="3" t="n"/>
    </row>
    <row r="477" ht="20.1" customHeight="1">
      <c r="A477" s="1" t="n"/>
      <c r="B477" s="2" t="n"/>
      <c r="C477" s="2" t="n"/>
      <c r="D477" s="3" t="n"/>
      <c r="E477" s="4">
        <f>IFERROR(VALUE(LEFT(D478,FIND(" - ",D478)-1)), "")</f>
        <v/>
      </c>
      <c r="F477" s="5">
        <f>IFERROR(VLOOKUP(E478,Product_Master!A:D,4,FALSE)&amp;"", "")</f>
        <v/>
      </c>
      <c r="G477" s="6" t="n"/>
      <c r="H477" s="6" t="n"/>
      <c r="I477" s="6" t="n"/>
      <c r="J477" s="7">
        <f>IF(OR(G478="",G478=0), "", IFERROR(I478/G478, ""))</f>
        <v/>
      </c>
      <c r="K477" s="6" t="n"/>
      <c r="L477" s="3" t="n"/>
    </row>
    <row r="478" ht="20.1" customHeight="1">
      <c r="A478" s="1" t="n"/>
      <c r="B478" s="2" t="n"/>
      <c r="C478" s="2" t="n"/>
      <c r="D478" s="3" t="n"/>
      <c r="E478" s="4">
        <f>IFERROR(VALUE(LEFT(D479,FIND(" - ",D479)-1)), "")</f>
        <v/>
      </c>
      <c r="F478" s="5">
        <f>IFERROR(VLOOKUP(E479,Product_Master!A:D,4,FALSE)&amp;"", "")</f>
        <v/>
      </c>
      <c r="G478" s="6" t="n"/>
      <c r="H478" s="6" t="n"/>
      <c r="I478" s="6" t="n"/>
      <c r="J478" s="7">
        <f>IF(OR(G479="",G479=0), "", IFERROR(I479/G479, ""))</f>
        <v/>
      </c>
      <c r="K478" s="6" t="n"/>
      <c r="L478" s="3" t="n"/>
    </row>
    <row r="479" ht="20.1" customHeight="1">
      <c r="A479" s="1" t="n"/>
      <c r="B479" s="2" t="n"/>
      <c r="C479" s="2" t="n"/>
      <c r="D479" s="3" t="n"/>
      <c r="E479" s="4">
        <f>IFERROR(VALUE(LEFT(D480,FIND(" - ",D480)-1)), "")</f>
        <v/>
      </c>
      <c r="F479" s="5">
        <f>IFERROR(VLOOKUP(E480,Product_Master!A:D,4,FALSE)&amp;"", "")</f>
        <v/>
      </c>
      <c r="G479" s="6" t="n"/>
      <c r="H479" s="6" t="n"/>
      <c r="I479" s="6" t="n"/>
      <c r="J479" s="7">
        <f>IF(OR(G480="",G480=0), "", IFERROR(I480/G480, ""))</f>
        <v/>
      </c>
      <c r="K479" s="6" t="n"/>
      <c r="L479" s="3" t="n"/>
    </row>
    <row r="480" ht="20.1" customHeight="1">
      <c r="A480" s="1" t="n"/>
      <c r="B480" s="2" t="n"/>
      <c r="C480" s="2" t="n"/>
      <c r="D480" s="3" t="n"/>
      <c r="E480" s="4">
        <f>IFERROR(VALUE(LEFT(D481,FIND(" - ",D481)-1)), "")</f>
        <v/>
      </c>
      <c r="F480" s="5">
        <f>IFERROR(VLOOKUP(E481,Product_Master!A:D,4,FALSE)&amp;"", "")</f>
        <v/>
      </c>
      <c r="G480" s="6" t="n"/>
      <c r="H480" s="6" t="n"/>
      <c r="I480" s="6" t="n"/>
      <c r="J480" s="7">
        <f>IF(OR(G481="",G481=0), "", IFERROR(I481/G481, ""))</f>
        <v/>
      </c>
      <c r="K480" s="6" t="n"/>
      <c r="L480" s="3" t="n"/>
    </row>
    <row r="481" ht="20.1" customHeight="1">
      <c r="A481" s="1" t="n"/>
      <c r="B481" s="2" t="n"/>
      <c r="C481" s="2" t="n"/>
      <c r="D481" s="3" t="n"/>
      <c r="E481" s="4">
        <f>IFERROR(VALUE(LEFT(D482,FIND(" - ",D482)-1)), "")</f>
        <v/>
      </c>
      <c r="F481" s="5">
        <f>IFERROR(VLOOKUP(E482,Product_Master!A:D,4,FALSE)&amp;"", "")</f>
        <v/>
      </c>
      <c r="G481" s="6" t="n"/>
      <c r="H481" s="6" t="n"/>
      <c r="I481" s="6" t="n"/>
      <c r="J481" s="7">
        <f>IF(OR(G482="",G482=0), "", IFERROR(I482/G482, ""))</f>
        <v/>
      </c>
      <c r="K481" s="6" t="n"/>
      <c r="L481" s="3" t="n"/>
    </row>
    <row r="482" ht="20.1" customHeight="1">
      <c r="A482" s="1" t="n"/>
      <c r="B482" s="2" t="n"/>
      <c r="C482" s="2" t="n"/>
      <c r="D482" s="3" t="n"/>
      <c r="E482" s="4">
        <f>IFERROR(VALUE(LEFT(D483,FIND(" - ",D483)-1)), "")</f>
        <v/>
      </c>
      <c r="F482" s="5">
        <f>IFERROR(VLOOKUP(E483,Product_Master!A:D,4,FALSE)&amp;"", "")</f>
        <v/>
      </c>
      <c r="G482" s="6" t="n"/>
      <c r="H482" s="6" t="n"/>
      <c r="I482" s="6" t="n"/>
      <c r="J482" s="7">
        <f>IF(OR(G483="",G483=0), "", IFERROR(I483/G483, ""))</f>
        <v/>
      </c>
      <c r="K482" s="6" t="n"/>
      <c r="L482" s="3" t="n"/>
    </row>
    <row r="483" ht="20.1" customHeight="1">
      <c r="A483" s="1" t="n"/>
      <c r="B483" s="2" t="n"/>
      <c r="C483" s="2" t="n"/>
      <c r="D483" s="3" t="n"/>
      <c r="E483" s="4">
        <f>IFERROR(VALUE(LEFT(D484,FIND(" - ",D484)-1)), "")</f>
        <v/>
      </c>
      <c r="F483" s="5">
        <f>IFERROR(VLOOKUP(E484,Product_Master!A:D,4,FALSE)&amp;"", "")</f>
        <v/>
      </c>
      <c r="G483" s="6" t="n"/>
      <c r="H483" s="6" t="n"/>
      <c r="I483" s="6" t="n"/>
      <c r="J483" s="7">
        <f>IF(OR(G484="",G484=0), "", IFERROR(I484/G484, ""))</f>
        <v/>
      </c>
      <c r="K483" s="6" t="n"/>
      <c r="L483" s="3" t="n"/>
    </row>
    <row r="484" ht="20.1" customHeight="1">
      <c r="A484" s="1" t="n"/>
      <c r="B484" s="2" t="n"/>
      <c r="C484" s="2" t="n"/>
      <c r="D484" s="3" t="n"/>
      <c r="E484" s="4">
        <f>IFERROR(VALUE(LEFT(D485,FIND(" - ",D485)-1)), "")</f>
        <v/>
      </c>
      <c r="F484" s="5">
        <f>IFERROR(VLOOKUP(E485,Product_Master!A:D,4,FALSE)&amp;"", "")</f>
        <v/>
      </c>
      <c r="G484" s="6" t="n"/>
      <c r="H484" s="6" t="n"/>
      <c r="I484" s="6" t="n"/>
      <c r="J484" s="7">
        <f>IF(OR(G485="",G485=0), "", IFERROR(I485/G485, ""))</f>
        <v/>
      </c>
      <c r="K484" s="6" t="n"/>
      <c r="L484" s="3" t="n"/>
    </row>
    <row r="485" ht="20.1" customHeight="1">
      <c r="A485" s="1" t="n"/>
      <c r="B485" s="2" t="n"/>
      <c r="C485" s="2" t="n"/>
      <c r="D485" s="3" t="n"/>
      <c r="E485" s="4">
        <f>IFERROR(VALUE(LEFT(D486,FIND(" - ",D486)-1)), "")</f>
        <v/>
      </c>
      <c r="F485" s="5">
        <f>IFERROR(VLOOKUP(E486,Product_Master!A:D,4,FALSE)&amp;"", "")</f>
        <v/>
      </c>
      <c r="G485" s="6" t="n"/>
      <c r="H485" s="6" t="n"/>
      <c r="I485" s="6" t="n"/>
      <c r="J485" s="7">
        <f>IF(OR(G486="",G486=0), "", IFERROR(I486/G486, ""))</f>
        <v/>
      </c>
      <c r="K485" s="6" t="n"/>
      <c r="L485" s="3" t="n"/>
    </row>
    <row r="486" ht="20.1" customHeight="1">
      <c r="A486" s="1" t="n"/>
      <c r="B486" s="2" t="n"/>
      <c r="C486" s="2" t="n"/>
      <c r="D486" s="3" t="n"/>
      <c r="E486" s="4">
        <f>IFERROR(VALUE(LEFT(D487,FIND(" - ",D487)-1)), "")</f>
        <v/>
      </c>
      <c r="F486" s="5">
        <f>IFERROR(VLOOKUP(E487,Product_Master!A:D,4,FALSE)&amp;"", "")</f>
        <v/>
      </c>
      <c r="G486" s="6" t="n"/>
      <c r="H486" s="6" t="n"/>
      <c r="I486" s="6" t="n"/>
      <c r="J486" s="7">
        <f>IF(OR(G487="",G487=0), "", IFERROR(I487/G487, ""))</f>
        <v/>
      </c>
      <c r="K486" s="6" t="n"/>
      <c r="L486" s="3" t="n"/>
    </row>
    <row r="487" ht="20.1" customHeight="1">
      <c r="A487" s="1" t="n"/>
      <c r="B487" s="2" t="n"/>
      <c r="C487" s="2" t="n"/>
      <c r="D487" s="3" t="n"/>
      <c r="E487" s="4">
        <f>IFERROR(VALUE(LEFT(D488,FIND(" - ",D488)-1)), "")</f>
        <v/>
      </c>
      <c r="F487" s="5">
        <f>IFERROR(VLOOKUP(E488,Product_Master!A:D,4,FALSE)&amp;"", "")</f>
        <v/>
      </c>
      <c r="G487" s="6" t="n"/>
      <c r="H487" s="6" t="n"/>
      <c r="I487" s="6" t="n"/>
      <c r="J487" s="7">
        <f>IF(OR(G488="",G488=0), "", IFERROR(I488/G488, ""))</f>
        <v/>
      </c>
      <c r="K487" s="6" t="n"/>
      <c r="L487" s="3" t="n"/>
    </row>
    <row r="488" ht="20.1" customHeight="1">
      <c r="A488" s="1" t="n"/>
      <c r="B488" s="2" t="n"/>
      <c r="C488" s="2" t="n"/>
      <c r="D488" s="3" t="n"/>
      <c r="E488" s="4">
        <f>IFERROR(VALUE(LEFT(D489,FIND(" - ",D489)-1)), "")</f>
        <v/>
      </c>
      <c r="F488" s="5">
        <f>IFERROR(VLOOKUP(E489,Product_Master!A:D,4,FALSE)&amp;"", "")</f>
        <v/>
      </c>
      <c r="G488" s="6" t="n"/>
      <c r="H488" s="6" t="n"/>
      <c r="I488" s="6" t="n"/>
      <c r="J488" s="7">
        <f>IF(OR(G489="",G489=0), "", IFERROR(I489/G489, ""))</f>
        <v/>
      </c>
      <c r="K488" s="6" t="n"/>
      <c r="L488" s="3" t="n"/>
    </row>
    <row r="489" ht="20.1" customHeight="1">
      <c r="A489" s="1" t="n"/>
      <c r="B489" s="2" t="n"/>
      <c r="C489" s="2" t="n"/>
      <c r="D489" s="3" t="n"/>
      <c r="E489" s="4">
        <f>IFERROR(VALUE(LEFT(D490,FIND(" - ",D490)-1)), "")</f>
        <v/>
      </c>
      <c r="F489" s="5">
        <f>IFERROR(VLOOKUP(E490,Product_Master!A:D,4,FALSE)&amp;"", "")</f>
        <v/>
      </c>
      <c r="G489" s="6" t="n"/>
      <c r="H489" s="6" t="n"/>
      <c r="I489" s="6" t="n"/>
      <c r="J489" s="7">
        <f>IF(OR(G490="",G490=0), "", IFERROR(I490/G490, ""))</f>
        <v/>
      </c>
      <c r="K489" s="6" t="n"/>
      <c r="L489" s="3" t="n"/>
    </row>
    <row r="490" ht="20.1" customHeight="1">
      <c r="A490" s="1" t="n"/>
      <c r="B490" s="2" t="n"/>
      <c r="C490" s="2" t="n"/>
      <c r="D490" s="3" t="n"/>
      <c r="E490" s="4">
        <f>IFERROR(VALUE(LEFT(D491,FIND(" - ",D491)-1)), "")</f>
        <v/>
      </c>
      <c r="F490" s="5">
        <f>IFERROR(VLOOKUP(E491,Product_Master!A:D,4,FALSE)&amp;"", "")</f>
        <v/>
      </c>
      <c r="G490" s="6" t="n"/>
      <c r="H490" s="6" t="n"/>
      <c r="I490" s="6" t="n"/>
      <c r="J490" s="7">
        <f>IF(OR(G491="",G491=0), "", IFERROR(I491/G491, ""))</f>
        <v/>
      </c>
      <c r="K490" s="6" t="n"/>
      <c r="L490" s="3" t="n"/>
    </row>
    <row r="491" ht="20.1" customHeight="1">
      <c r="A491" s="1" t="n"/>
      <c r="B491" s="2" t="n"/>
      <c r="C491" s="2" t="n"/>
      <c r="D491" s="3" t="n"/>
      <c r="E491" s="4">
        <f>IFERROR(VALUE(LEFT(D492,FIND(" - ",D492)-1)), "")</f>
        <v/>
      </c>
      <c r="F491" s="5">
        <f>IFERROR(VLOOKUP(E492,Product_Master!A:D,4,FALSE)&amp;"", "")</f>
        <v/>
      </c>
      <c r="G491" s="6" t="n"/>
      <c r="H491" s="6" t="n"/>
      <c r="I491" s="6" t="n"/>
      <c r="J491" s="7">
        <f>IF(OR(G492="",G492=0), "", IFERROR(I492/G492, ""))</f>
        <v/>
      </c>
      <c r="K491" s="6" t="n"/>
      <c r="L491" s="3" t="n"/>
    </row>
    <row r="492" ht="20.1" customHeight="1">
      <c r="A492" s="1" t="n"/>
      <c r="B492" s="2" t="n"/>
      <c r="C492" s="2" t="n"/>
      <c r="D492" s="3" t="n"/>
      <c r="E492" s="4">
        <f>IFERROR(VALUE(LEFT(D493,FIND(" - ",D493)-1)), "")</f>
        <v/>
      </c>
      <c r="F492" s="5">
        <f>IFERROR(VLOOKUP(E493,Product_Master!A:D,4,FALSE)&amp;"", "")</f>
        <v/>
      </c>
      <c r="G492" s="6" t="n"/>
      <c r="H492" s="6" t="n"/>
      <c r="I492" s="6" t="n"/>
      <c r="J492" s="7">
        <f>IF(OR(G493="",G493=0), "", IFERROR(I493/G493, ""))</f>
        <v/>
      </c>
      <c r="K492" s="6" t="n"/>
      <c r="L492" s="3" t="n"/>
    </row>
    <row r="493" ht="20.1" customHeight="1">
      <c r="A493" s="1" t="n"/>
      <c r="B493" s="2" t="n"/>
      <c r="C493" s="2" t="n"/>
      <c r="D493" s="3" t="n"/>
      <c r="E493" s="4">
        <f>IFERROR(VALUE(LEFT(D494,FIND(" - ",D494)-1)), "")</f>
        <v/>
      </c>
      <c r="F493" s="5">
        <f>IFERROR(VLOOKUP(E494,Product_Master!A:D,4,FALSE)&amp;"", "")</f>
        <v/>
      </c>
      <c r="G493" s="6" t="n"/>
      <c r="H493" s="6" t="n"/>
      <c r="I493" s="6" t="n"/>
      <c r="J493" s="7">
        <f>IF(OR(G494="",G494=0), "", IFERROR(I494/G494, ""))</f>
        <v/>
      </c>
      <c r="K493" s="6" t="n"/>
      <c r="L493" s="3" t="n"/>
    </row>
    <row r="494" ht="20.1" customHeight="1">
      <c r="A494" s="1" t="n"/>
      <c r="B494" s="2" t="n"/>
      <c r="C494" s="2" t="n"/>
      <c r="D494" s="3" t="n"/>
      <c r="E494" s="4">
        <f>IFERROR(VALUE(LEFT(D495,FIND(" - ",D495)-1)), "")</f>
        <v/>
      </c>
      <c r="F494" s="5">
        <f>IFERROR(VLOOKUP(E495,Product_Master!A:D,4,FALSE)&amp;"", "")</f>
        <v/>
      </c>
      <c r="G494" s="6" t="n"/>
      <c r="H494" s="6" t="n"/>
      <c r="I494" s="6" t="n"/>
      <c r="J494" s="7">
        <f>IF(OR(G495="",G495=0), "", IFERROR(I495/G495, ""))</f>
        <v/>
      </c>
      <c r="K494" s="6" t="n"/>
      <c r="L494" s="3" t="n"/>
    </row>
    <row r="495" ht="20.1" customHeight="1">
      <c r="A495" s="1" t="n"/>
      <c r="B495" s="2" t="n"/>
      <c r="C495" s="2" t="n"/>
      <c r="D495" s="3" t="n"/>
      <c r="E495" s="4">
        <f>IFERROR(VALUE(LEFT(D496,FIND(" - ",D496)-1)), "")</f>
        <v/>
      </c>
      <c r="F495" s="5">
        <f>IFERROR(VLOOKUP(E496,Product_Master!A:D,4,FALSE)&amp;"", "")</f>
        <v/>
      </c>
      <c r="G495" s="6" t="n"/>
      <c r="H495" s="6" t="n"/>
      <c r="I495" s="6" t="n"/>
      <c r="J495" s="7">
        <f>IF(OR(G496="",G496=0), "", IFERROR(I496/G496, ""))</f>
        <v/>
      </c>
      <c r="K495" s="6" t="n"/>
      <c r="L495" s="3" t="n"/>
    </row>
    <row r="496" ht="20.1" customHeight="1">
      <c r="A496" s="1" t="n"/>
      <c r="B496" s="2" t="n"/>
      <c r="C496" s="2" t="n"/>
      <c r="D496" s="3" t="n"/>
      <c r="E496" s="4">
        <f>IFERROR(VALUE(LEFT(D497,FIND(" - ",D497)-1)), "")</f>
        <v/>
      </c>
      <c r="F496" s="5">
        <f>IFERROR(VLOOKUP(E497,Product_Master!A:D,4,FALSE)&amp;"", "")</f>
        <v/>
      </c>
      <c r="G496" s="6" t="n"/>
      <c r="H496" s="6" t="n"/>
      <c r="I496" s="6" t="n"/>
      <c r="J496" s="7">
        <f>IF(OR(G497="",G497=0), "", IFERROR(I497/G497, ""))</f>
        <v/>
      </c>
      <c r="K496" s="6" t="n"/>
      <c r="L496" s="3" t="n"/>
    </row>
    <row r="497" ht="20.1" customHeight="1">
      <c r="A497" s="1" t="n"/>
      <c r="B497" s="2" t="n"/>
      <c r="C497" s="2" t="n"/>
      <c r="D497" s="3" t="n"/>
      <c r="E497" s="4">
        <f>IFERROR(VALUE(LEFT(D498,FIND(" - ",D498)-1)), "")</f>
        <v/>
      </c>
      <c r="F497" s="5">
        <f>IFERROR(VLOOKUP(E498,Product_Master!A:D,4,FALSE)&amp;"", "")</f>
        <v/>
      </c>
      <c r="G497" s="6" t="n"/>
      <c r="H497" s="6" t="n"/>
      <c r="I497" s="6" t="n"/>
      <c r="J497" s="7">
        <f>IF(OR(G498="",G498=0), "", IFERROR(I498/G498, ""))</f>
        <v/>
      </c>
      <c r="K497" s="6" t="n"/>
      <c r="L497" s="3" t="n"/>
    </row>
    <row r="498" ht="20.1" customHeight="1"/>
  </sheetData>
  <mergeCells count="1">
    <mergeCell ref="A1:L1"/>
  </mergeCells>
  <conditionalFormatting sqref="D3:D498">
    <cfRule type="expression" priority="1" dxfId="2" stopIfTrue="1">
      <formula>AND(A3&lt;&gt;"", D3="")</formula>
    </cfRule>
  </conditionalFormatting>
  <conditionalFormatting sqref="J3:K498">
    <cfRule type="cellIs" priority="2" operator="greaterThan" dxfId="2" stopIfTrue="1">
      <formula>0.1</formula>
    </cfRule>
    <cfRule type="cellIs" priority="3" operator="between" dxfId="1" stopIfTrue="1">
      <formula>0.05</formula>
      <formula>0.1</formula>
    </cfRule>
  </conditionalFormatting>
  <conditionalFormatting sqref="K3:K498">
    <cfRule type="cellIs" priority="4" operator="greaterThan" dxfId="0" stopIfTrue="1">
      <formula>120</formula>
    </cfRule>
  </conditionalFormatting>
  <dataValidations count="3">
    <dataValidation sqref="A3:A498" showDropDown="0" showInputMessage="0" showErrorMessage="0" allowBlank="1" errorTitle="Invalid Date" error="Your entry is not a valid date" promptTitle="Date Entry" prompt="Please enter date as DD-MMM-YYYY" type="date">
      <formula1>2026-1-1</formula1>
      <formula2>2030-12-31</formula2>
    </dataValidation>
    <dataValidation sqref="G3:I498" showDropDown="0" showInputMessage="0" showErrorMessage="0" allowBlank="1" errorTitle="Invalid Qty" error="Value must be a positive integer" type="whole" operator="greaterThanOrEqual">
      <formula1>0</formula1>
    </dataValidation>
    <dataValidation sqref="K3:K498" showDropDown="0" showInputMessage="0" showErrorMessage="0" allowBlank="1" errorTitle="Invalid Downtime" error="Value must be between 0 and 720 minutes" type="whole">
      <formula1>0</formula1>
      <formula2>720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Shifts</t>
        </is>
      </c>
      <c r="B1" t="inlineStr">
        <is>
          <t>Machines</t>
        </is>
      </c>
      <c r="C1" t="inlineStr">
        <is>
          <t>Active Display Strings</t>
        </is>
      </c>
    </row>
    <row r="2">
      <c r="A2" t="inlineStr">
        <is>
          <t>A</t>
        </is>
      </c>
      <c r="B2" t="inlineStr">
        <is>
          <t>Tumbler</t>
        </is>
      </c>
      <c r="C2">
        <f>IF(Product_Master!E2=TRUE, Product_Master!G2, "")</f>
        <v/>
      </c>
    </row>
    <row r="3">
      <c r="B3" t="inlineStr">
        <is>
          <t>Press</t>
        </is>
      </c>
      <c r="C3">
        <f>IF(Product_Master!E3=TRUE, Product_Master!G3, "")</f>
        <v/>
      </c>
    </row>
    <row r="4">
      <c r="B4" t="inlineStr">
        <is>
          <t>Trimming</t>
        </is>
      </c>
      <c r="C4">
        <f>IF(Product_Master!E4=TRUE, Product_Master!G4, "")</f>
        <v/>
      </c>
    </row>
    <row r="5">
      <c r="B5" t="inlineStr">
        <is>
          <t>Washing</t>
        </is>
      </c>
      <c r="C5">
        <f>IF(Product_Master!E5=TRUE, Product_Master!G5, "")</f>
        <v/>
      </c>
    </row>
    <row r="6">
      <c r="B6" t="inlineStr">
        <is>
          <t>Annealer</t>
        </is>
      </c>
      <c r="C6">
        <f>IF(Product_Master!E6=TRUE, Product_Master!G6, "")</f>
        <v/>
      </c>
    </row>
    <row r="7">
      <c r="B7" t="inlineStr">
        <is>
          <t>Lacquer</t>
        </is>
      </c>
      <c r="C7">
        <f>IF(Product_Master!E7=TRUE, Product_Master!G7, "")</f>
        <v/>
      </c>
    </row>
    <row r="8">
      <c r="B8" t="inlineStr">
        <is>
          <t>Base Coat</t>
        </is>
      </c>
      <c r="C8">
        <f>IF(Product_Master!E8=TRUE, Product_Master!G8, "")</f>
        <v/>
      </c>
    </row>
    <row r="9">
      <c r="B9" t="inlineStr">
        <is>
          <t>Printing</t>
        </is>
      </c>
      <c r="C9">
        <f>IF(Product_Master!E9=TRUE, Product_Master!G9, "")</f>
        <v/>
      </c>
    </row>
    <row r="10">
      <c r="B10" t="inlineStr">
        <is>
          <t>Over Varnish</t>
        </is>
      </c>
      <c r="C10">
        <f>IF(Product_Master!E10=TRUE, Product_Master!G10, "")</f>
        <v/>
      </c>
    </row>
    <row r="11">
      <c r="B11" t="inlineStr">
        <is>
          <t>Decoration Oven</t>
        </is>
      </c>
      <c r="C11">
        <f>IF(Product_Master!E11=TRUE, Product_Master!G11, "")</f>
        <v/>
      </c>
    </row>
    <row r="12">
      <c r="B12" t="inlineStr">
        <is>
          <t>Necking</t>
        </is>
      </c>
      <c r="C12">
        <f>IF(Product_Master!E12=TRUE, Product_Master!G12, "")</f>
        <v/>
      </c>
    </row>
    <row r="13">
      <c r="B13" t="inlineStr">
        <is>
          <t>Light Tester</t>
        </is>
      </c>
      <c r="C13">
        <f>IF(Product_Master!E13=TRUE, Product_Master!G13, "")</f>
        <v/>
      </c>
    </row>
    <row r="14">
      <c r="B14" t="inlineStr">
        <is>
          <t>Strapping</t>
        </is>
      </c>
      <c r="C14">
        <f>IF(Product_Master!E14=TRUE, Product_Master!G14, "")</f>
        <v/>
      </c>
    </row>
    <row r="15">
      <c r="B15" t="inlineStr">
        <is>
          <t>Packing</t>
        </is>
      </c>
      <c r="C15">
        <f>IF(Product_Master!E15=TRUE, Product_Master!G15, "")</f>
        <v/>
      </c>
    </row>
    <row r="16">
      <c r="B16" t="inlineStr">
        <is>
          <t>Accumulator</t>
        </is>
      </c>
      <c r="C16">
        <f>IF(Product_Master!E16=TRUE, Product_Master!G16, "")</f>
        <v/>
      </c>
    </row>
    <row r="17">
      <c r="B17" t="inlineStr">
        <is>
          <t>Compressor</t>
        </is>
      </c>
      <c r="C17">
        <f>IF(Product_Master!E17=TRUE, Product_Master!G17, "")</f>
        <v/>
      </c>
    </row>
    <row r="18">
      <c r="C18">
        <f>IF(Product_Master!E18=TRUE, Product_Master!G18, "")</f>
        <v/>
      </c>
    </row>
    <row r="19">
      <c r="C19">
        <f>IF(Product_Master!E19=TRUE, Product_Master!G19, "")</f>
        <v/>
      </c>
    </row>
    <row r="20">
      <c r="C20">
        <f>IF(Product_Master!E20=TRUE, Product_Master!G20, "")</f>
        <v/>
      </c>
    </row>
    <row r="21">
      <c r="C21">
        <f>IF(Product_Master!E21=TRUE, Product_Master!G21, "")</f>
        <v/>
      </c>
    </row>
    <row r="22">
      <c r="C22">
        <f>IF(Product_Master!E22=TRUE, Product_Master!G22, "")</f>
        <v/>
      </c>
    </row>
    <row r="23">
      <c r="C23">
        <f>IF(Product_Master!E23=TRUE, Product_Master!G23, "")</f>
        <v/>
      </c>
    </row>
    <row r="24">
      <c r="C24">
        <f>IF(Product_Master!E24=TRUE, Product_Master!G24, "")</f>
        <v/>
      </c>
    </row>
    <row r="25">
      <c r="C25">
        <f>IF(Product_Master!E25=TRUE, Product_Master!G25, "")</f>
        <v/>
      </c>
    </row>
    <row r="26">
      <c r="C26">
        <f>IF(Product_Master!E26=TRUE, Product_Master!G26, "")</f>
        <v/>
      </c>
    </row>
    <row r="27">
      <c r="C27">
        <f>IF(Product_Master!E27=TRUE, Product_Master!G27, "")</f>
        <v/>
      </c>
    </row>
    <row r="28">
      <c r="C28">
        <f>IF(Product_Master!E28=TRUE, Product_Master!G28, "")</f>
        <v/>
      </c>
    </row>
    <row r="29">
      <c r="C29">
        <f>IF(Product_Master!E29=TRUE, Product_Master!G29, "")</f>
        <v/>
      </c>
    </row>
    <row r="30">
      <c r="C30">
        <f>IF(Product_Master!E30=TRUE, Product_Master!G30, "")</f>
        <v/>
      </c>
    </row>
    <row r="31">
      <c r="C31">
        <f>IF(Product_Master!E31=TRUE, Product_Master!G31, "")</f>
        <v/>
      </c>
    </row>
    <row r="32">
      <c r="C32">
        <f>IF(Product_Master!E32=TRUE, Product_Master!G32, "")</f>
        <v/>
      </c>
    </row>
    <row r="33">
      <c r="C33">
        <f>IF(Product_Master!E33=TRUE, Product_Master!G33, "")</f>
        <v/>
      </c>
    </row>
    <row r="34">
      <c r="C34">
        <f>IF(Product_Master!E34=TRUE, Product_Master!G34, "")</f>
        <v/>
      </c>
    </row>
    <row r="35">
      <c r="C35">
        <f>IF(Product_Master!E35=TRUE, Product_Master!G35, "")</f>
        <v/>
      </c>
    </row>
    <row r="36">
      <c r="C36">
        <f>IF(Product_Master!E36=TRUE, Product_Master!G36, "")</f>
        <v/>
      </c>
    </row>
    <row r="37">
      <c r="C37">
        <f>IF(Product_Master!E37=TRUE, Product_Master!G37, "")</f>
        <v/>
      </c>
    </row>
    <row r="38">
      <c r="C38">
        <f>IF(Product_Master!E38=TRUE, Product_Master!G38, "")</f>
        <v/>
      </c>
    </row>
    <row r="39">
      <c r="C39">
        <f>IF(Product_Master!E39=TRUE, Product_Master!G39, "")</f>
        <v/>
      </c>
    </row>
    <row r="40">
      <c r="C40">
        <f>IF(Product_Master!E40=TRUE, Product_Master!G40, "")</f>
        <v/>
      </c>
    </row>
    <row r="41">
      <c r="C41">
        <f>IF(Product_Master!E41=TRUE, Product_Master!G41, "")</f>
        <v/>
      </c>
    </row>
    <row r="42">
      <c r="C42">
        <f>IF(Product_Master!E42=TRUE, Product_Master!G42, "")</f>
        <v/>
      </c>
    </row>
    <row r="43">
      <c r="C43">
        <f>IF(Product_Master!E43=TRUE, Product_Master!G43, "")</f>
        <v/>
      </c>
    </row>
    <row r="44">
      <c r="C44">
        <f>IF(Product_Master!E44=TRUE, Product_Master!G44, "")</f>
        <v/>
      </c>
    </row>
    <row r="45">
      <c r="C45">
        <f>IF(Product_Master!E45=TRUE, Product_Master!G45, "")</f>
        <v/>
      </c>
    </row>
    <row r="46">
      <c r="C46">
        <f>IF(Product_Master!E46=TRUE, Product_Master!G46, "")</f>
        <v/>
      </c>
    </row>
    <row r="47">
      <c r="C47">
        <f>IF(Product_Master!E47=TRUE, Product_Master!G47, "")</f>
        <v/>
      </c>
    </row>
    <row r="48">
      <c r="C48">
        <f>IF(Product_Master!E48=TRUE, Product_Master!G48, "")</f>
        <v/>
      </c>
    </row>
    <row r="49">
      <c r="C49">
        <f>IF(Product_Master!E49=TRUE, Product_Master!G49, "")</f>
        <v/>
      </c>
    </row>
    <row r="50">
      <c r="C50">
        <f>IF(Product_Master!E50=TRUE, Product_Master!G50, "")</f>
        <v/>
      </c>
    </row>
    <row r="51">
      <c r="C51">
        <f>IF(Product_Master!E51=TRUE, Product_Master!G51, "")</f>
        <v/>
      </c>
    </row>
    <row r="52">
      <c r="C52">
        <f>IF(Product_Master!E52=TRUE, Product_Master!G52, "")</f>
        <v/>
      </c>
    </row>
    <row r="53">
      <c r="C53">
        <f>IF(Product_Master!E53=TRUE, Product_Master!G53, "")</f>
        <v/>
      </c>
    </row>
    <row r="54">
      <c r="C54">
        <f>IF(Product_Master!E54=TRUE, Product_Master!G54, "")</f>
        <v/>
      </c>
    </row>
    <row r="55">
      <c r="C55">
        <f>IF(Product_Master!E55=TRUE, Product_Master!G55, "")</f>
        <v/>
      </c>
    </row>
    <row r="56">
      <c r="C56">
        <f>IF(Product_Master!E56=TRUE, Product_Master!G56, "")</f>
        <v/>
      </c>
    </row>
    <row r="57">
      <c r="C57">
        <f>IF(Product_Master!E57=TRUE, Product_Master!G57, "")</f>
        <v/>
      </c>
    </row>
    <row r="58">
      <c r="C58">
        <f>IF(Product_Master!E58=TRUE, Product_Master!G58, "")</f>
        <v/>
      </c>
    </row>
    <row r="59">
      <c r="C59">
        <f>IF(Product_Master!E59=TRUE, Product_Master!G59, "")</f>
        <v/>
      </c>
    </row>
    <row r="60">
      <c r="C60">
        <f>IF(Product_Master!E60=TRUE, Product_Master!G60, "")</f>
        <v/>
      </c>
    </row>
    <row r="61">
      <c r="C61">
        <f>IF(Product_Master!E61=TRUE, Product_Master!G61, "")</f>
        <v/>
      </c>
    </row>
    <row r="62">
      <c r="C62">
        <f>IF(Product_Master!E62=TRUE, Product_Master!G62, "")</f>
        <v/>
      </c>
    </row>
    <row r="63">
      <c r="C63">
        <f>IF(Product_Master!E63=TRUE, Product_Master!G63, "")</f>
        <v/>
      </c>
    </row>
    <row r="64">
      <c r="C64">
        <f>IF(Product_Master!E64=TRUE, Product_Master!G64, "")</f>
        <v/>
      </c>
    </row>
    <row r="65">
      <c r="C65">
        <f>IF(Product_Master!E65=TRUE, Product_Master!G65, "")</f>
        <v/>
      </c>
    </row>
    <row r="66">
      <c r="C66">
        <f>IF(Product_Master!E66=TRUE, Product_Master!G66, "")</f>
        <v/>
      </c>
    </row>
    <row r="67">
      <c r="C67">
        <f>IF(Product_Master!E67=TRUE, Product_Master!G67, "")</f>
        <v/>
      </c>
    </row>
    <row r="68">
      <c r="C68">
        <f>IF(Product_Master!E68=TRUE, Product_Master!G68, "")</f>
        <v/>
      </c>
    </row>
    <row r="69">
      <c r="C69">
        <f>IF(Product_Master!E69=TRUE, Product_Master!G69, "")</f>
        <v/>
      </c>
    </row>
    <row r="70">
      <c r="C70">
        <f>IF(Product_Master!E70=TRUE, Product_Master!G70, "")</f>
        <v/>
      </c>
    </row>
    <row r="71">
      <c r="C71">
        <f>IF(Product_Master!E71=TRUE, Product_Master!G71, "")</f>
        <v/>
      </c>
    </row>
    <row r="72">
      <c r="C72">
        <f>IF(Product_Master!E72=TRUE, Product_Master!G72, "")</f>
        <v/>
      </c>
    </row>
    <row r="73">
      <c r="C73">
        <f>IF(Product_Master!E73=TRUE, Product_Master!G73, "")</f>
        <v/>
      </c>
    </row>
    <row r="74">
      <c r="C74">
        <f>IF(Product_Master!E74=TRUE, Product_Master!G74, "")</f>
        <v/>
      </c>
    </row>
    <row r="75">
      <c r="C75">
        <f>IF(Product_Master!E75=TRUE, Product_Master!G75, "")</f>
        <v/>
      </c>
    </row>
    <row r="76">
      <c r="C76">
        <f>IF(Product_Master!E76=TRUE, Product_Master!G76, "")</f>
        <v/>
      </c>
    </row>
    <row r="77">
      <c r="C77">
        <f>IF(Product_Master!E77=TRUE, Product_Master!G77, "")</f>
        <v/>
      </c>
    </row>
    <row r="78">
      <c r="C78">
        <f>IF(Product_Master!E78=TRUE, Product_Master!G78, "")</f>
        <v/>
      </c>
    </row>
    <row r="79">
      <c r="C79">
        <f>IF(Product_Master!E79=TRUE, Product_Master!G79, "")</f>
        <v/>
      </c>
    </row>
    <row r="80">
      <c r="C80">
        <f>IF(Product_Master!E80=TRUE, Product_Master!G80, "")</f>
        <v/>
      </c>
    </row>
    <row r="81">
      <c r="C81">
        <f>IF(Product_Master!E81=TRUE, Product_Master!G81, "")</f>
        <v/>
      </c>
    </row>
    <row r="82">
      <c r="C82">
        <f>IF(Product_Master!E82=TRUE, Product_Master!G82, "")</f>
        <v/>
      </c>
    </row>
    <row r="83">
      <c r="C83">
        <f>IF(Product_Master!E83=TRUE, Product_Master!G83, "")</f>
        <v/>
      </c>
    </row>
    <row r="84">
      <c r="C84">
        <f>IF(Product_Master!E84=TRUE, Product_Master!G84, "")</f>
        <v/>
      </c>
    </row>
    <row r="85">
      <c r="C85">
        <f>IF(Product_Master!E85=TRUE, Product_Master!G85, "")</f>
        <v/>
      </c>
    </row>
    <row r="86">
      <c r="C86">
        <f>IF(Product_Master!E86=TRUE, Product_Master!G86, "")</f>
        <v/>
      </c>
    </row>
    <row r="87">
      <c r="C87">
        <f>IF(Product_Master!E87=TRUE, Product_Master!G87, "")</f>
        <v/>
      </c>
    </row>
    <row r="88">
      <c r="C88">
        <f>IF(Product_Master!E88=TRUE, Product_Master!G88, "")</f>
        <v/>
      </c>
    </row>
    <row r="89">
      <c r="C89">
        <f>IF(Product_Master!E89=TRUE, Product_Master!G89, "")</f>
        <v/>
      </c>
    </row>
    <row r="90">
      <c r="C90">
        <f>IF(Product_Master!E90=TRUE, Product_Master!G90, "")</f>
        <v/>
      </c>
    </row>
    <row r="91">
      <c r="C91">
        <f>IF(Product_Master!E91=TRUE, Product_Master!G91, "")</f>
        <v/>
      </c>
    </row>
    <row r="92">
      <c r="C92">
        <f>IF(Product_Master!E92=TRUE, Product_Master!G92, "")</f>
        <v/>
      </c>
    </row>
    <row r="93">
      <c r="C93">
        <f>IF(Product_Master!E93=TRUE, Product_Master!G93, "")</f>
        <v/>
      </c>
    </row>
    <row r="94">
      <c r="C94">
        <f>IF(Product_Master!E94=TRUE, Product_Master!G94, "")</f>
        <v/>
      </c>
    </row>
    <row r="95">
      <c r="C95">
        <f>IF(Product_Master!E95=TRUE, Product_Master!G95, "")</f>
        <v/>
      </c>
    </row>
    <row r="96">
      <c r="C96">
        <f>IF(Product_Master!E96=TRUE, Product_Master!G96, "")</f>
        <v/>
      </c>
    </row>
    <row r="97">
      <c r="C97">
        <f>IF(Product_Master!E97=TRUE, Product_Master!G97, "")</f>
        <v/>
      </c>
    </row>
    <row r="98">
      <c r="C98">
        <f>IF(Product_Master!E98=TRUE, Product_Master!G98, "")</f>
        <v/>
      </c>
    </row>
    <row r="99">
      <c r="C99">
        <f>IF(Product_Master!E99=TRUE, Product_Master!G99, 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9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PID</t>
        </is>
      </c>
      <c r="B1" s="8" t="inlineStr">
        <is>
          <t>Product Name</t>
        </is>
      </c>
      <c r="C1" s="8" t="inlineStr">
        <is>
          <t>Can Size</t>
        </is>
      </c>
      <c r="D1" s="8" t="inlineStr">
        <is>
          <t>Customer</t>
        </is>
      </c>
      <c r="E1" s="8" t="inlineStr">
        <is>
          <t>Active</t>
        </is>
      </c>
      <c r="F1" s="8" t="inlineStr">
        <is>
          <t>BOM Number</t>
        </is>
      </c>
      <c r="G1" s="8" t="inlineStr">
        <is>
          <t>Display String</t>
        </is>
      </c>
      <c r="H1" s="8" t="inlineStr">
        <is>
          <t>Unit</t>
        </is>
      </c>
      <c r="I1" s="8" t="inlineStr">
        <is>
          <t>Notes</t>
        </is>
      </c>
    </row>
    <row r="2">
      <c r="A2" t="n">
        <v>5001</v>
      </c>
      <c r="B2" t="inlineStr">
        <is>
          <t>AEROSOL CAN 45x160 PLAIN</t>
        </is>
      </c>
      <c r="C2" t="inlineStr">
        <is>
          <t>45x160</t>
        </is>
      </c>
      <c r="E2" t="b">
        <v>1</v>
      </c>
      <c r="G2">
        <f>A2&amp;" - "&amp;B2</f>
        <v/>
      </c>
      <c r="H2" t="inlineStr">
        <is>
          <t>pcs</t>
        </is>
      </c>
      <c r="I2" t="inlineStr">
        <is>
          <t>Placeholder</t>
        </is>
      </c>
    </row>
    <row r="3">
      <c r="A3" t="n">
        <v>5002</v>
      </c>
      <c r="B3" t="inlineStr">
        <is>
          <t>AEROSOL CAN 45x160 PRINTED</t>
        </is>
      </c>
      <c r="C3" t="inlineStr">
        <is>
          <t>45x160</t>
        </is>
      </c>
      <c r="E3" t="b">
        <v>1</v>
      </c>
      <c r="G3">
        <f>A3&amp;" - "&amp;B3</f>
        <v/>
      </c>
      <c r="H3" t="inlineStr">
        <is>
          <t>pcs</t>
        </is>
      </c>
      <c r="I3" t="inlineStr">
        <is>
          <t>Placeholder</t>
        </is>
      </c>
    </row>
    <row r="4">
      <c r="A4" t="n">
        <v>5003</v>
      </c>
      <c r="B4" t="inlineStr">
        <is>
          <t>AEROSOL CAN 45x160 LACQUERED</t>
        </is>
      </c>
      <c r="C4" t="inlineStr">
        <is>
          <t>45x160</t>
        </is>
      </c>
      <c r="E4" t="b">
        <v>1</v>
      </c>
      <c r="G4">
        <f>A4&amp;" - "&amp;B4</f>
        <v/>
      </c>
      <c r="H4" t="inlineStr">
        <is>
          <t>pcs</t>
        </is>
      </c>
      <c r="I4" t="inlineStr">
        <is>
          <t>Placeholder</t>
        </is>
      </c>
    </row>
    <row r="5">
      <c r="A5" t="n">
        <v>9001</v>
      </c>
      <c r="B5" t="inlineStr">
        <is>
          <t>AEROSOL CAN 45mm</t>
        </is>
      </c>
      <c r="C5" t="inlineStr">
        <is>
          <t>45x160</t>
        </is>
      </c>
      <c r="D5" t="inlineStr">
        <is>
          <t>Aerosol Customer</t>
        </is>
      </c>
      <c r="E5" t="b">
        <v>1</v>
      </c>
      <c r="F5" t="inlineStr">
        <is>
          <t>100</t>
        </is>
      </c>
      <c r="G5">
        <f>A5&amp;" - "&amp;B5</f>
        <v/>
      </c>
      <c r="H5" t="inlineStr">
        <is>
          <t>pcs</t>
        </is>
      </c>
      <c r="I5" t="inlineStr">
        <is>
          <t>From Theoretical BOM</t>
        </is>
      </c>
    </row>
    <row r="6">
      <c r="A6" t="n">
        <v>9002</v>
      </c>
      <c r="B6" t="inlineStr">
        <is>
          <t>AEROSOL CAN 45x160mm</t>
        </is>
      </c>
      <c r="C6" t="inlineStr">
        <is>
          <t>45x160</t>
        </is>
      </c>
      <c r="D6" t="inlineStr">
        <is>
          <t>Aerosol Customer</t>
        </is>
      </c>
      <c r="E6" t="b">
        <v>1</v>
      </c>
      <c r="F6" t="inlineStr">
        <is>
          <t>100</t>
        </is>
      </c>
      <c r="G6">
        <f>A6&amp;" - "&amp;B6</f>
        <v/>
      </c>
      <c r="H6" t="inlineStr">
        <is>
          <t>pcs</t>
        </is>
      </c>
      <c r="I6" t="inlineStr">
        <is>
          <t>Standard 160mm placeholder</t>
        </is>
      </c>
    </row>
    <row r="7">
      <c r="A7" t="n">
        <v>9003</v>
      </c>
      <c r="B7" t="inlineStr">
        <is>
          <t>AEROSOL CAN 45x150mm</t>
        </is>
      </c>
      <c r="C7" t="inlineStr">
        <is>
          <t>45x150</t>
        </is>
      </c>
      <c r="D7" t="inlineStr">
        <is>
          <t>Aerosol Customer</t>
        </is>
      </c>
      <c r="E7" t="b">
        <v>1</v>
      </c>
      <c r="F7" t="inlineStr">
        <is>
          <t>100</t>
        </is>
      </c>
      <c r="G7">
        <f>A7&amp;" - "&amp;B7</f>
        <v/>
      </c>
      <c r="H7" t="inlineStr">
        <is>
          <t>pcs</t>
        </is>
      </c>
      <c r="I7" t="inlineStr">
        <is>
          <t>Alternate 150mm placeholder</t>
        </is>
      </c>
    </row>
    <row r="8">
      <c r="E8" t="b">
        <v>1</v>
      </c>
      <c r="G8">
        <f>IF(A8="","",A8&amp;" - "&amp;B8)</f>
        <v/>
      </c>
      <c r="H8" t="inlineStr">
        <is>
          <t>pcs</t>
        </is>
      </c>
    </row>
    <row r="9">
      <c r="E9" t="b">
        <v>1</v>
      </c>
      <c r="G9">
        <f>IF(A9="","",A9&amp;" - "&amp;B9)</f>
        <v/>
      </c>
      <c r="H9" t="inlineStr">
        <is>
          <t>pcs</t>
        </is>
      </c>
    </row>
    <row r="10">
      <c r="E10" t="b">
        <v>1</v>
      </c>
      <c r="G10">
        <f>IF(A10="","",A10&amp;" - "&amp;B10)</f>
        <v/>
      </c>
      <c r="H10" t="inlineStr">
        <is>
          <t>pcs</t>
        </is>
      </c>
    </row>
    <row r="11">
      <c r="E11" t="b">
        <v>1</v>
      </c>
      <c r="G11">
        <f>IF(A11="","",A11&amp;" - "&amp;B11)</f>
        <v/>
      </c>
      <c r="H11" t="inlineStr">
        <is>
          <t>pcs</t>
        </is>
      </c>
    </row>
    <row r="12">
      <c r="E12" t="b">
        <v>1</v>
      </c>
      <c r="G12">
        <f>IF(A12="","",A12&amp;" - "&amp;B12)</f>
        <v/>
      </c>
      <c r="H12" t="inlineStr">
        <is>
          <t>pcs</t>
        </is>
      </c>
    </row>
    <row r="13">
      <c r="E13" t="b">
        <v>1</v>
      </c>
      <c r="G13">
        <f>IF(A13="","",A13&amp;" - "&amp;B13)</f>
        <v/>
      </c>
      <c r="H13" t="inlineStr">
        <is>
          <t>pcs</t>
        </is>
      </c>
    </row>
    <row r="14">
      <c r="E14" t="b">
        <v>1</v>
      </c>
      <c r="G14">
        <f>IF(A14="","",A14&amp;" - "&amp;B14)</f>
        <v/>
      </c>
      <c r="H14" t="inlineStr">
        <is>
          <t>pcs</t>
        </is>
      </c>
    </row>
    <row r="15">
      <c r="E15" t="b">
        <v>1</v>
      </c>
      <c r="G15">
        <f>IF(A15="","",A15&amp;" - "&amp;B15)</f>
        <v/>
      </c>
      <c r="H15" t="inlineStr">
        <is>
          <t>pcs</t>
        </is>
      </c>
    </row>
    <row r="16">
      <c r="E16" t="b">
        <v>1</v>
      </c>
      <c r="G16">
        <f>IF(A16="","",A16&amp;" - "&amp;B16)</f>
        <v/>
      </c>
      <c r="H16" t="inlineStr">
        <is>
          <t>pcs</t>
        </is>
      </c>
    </row>
    <row r="17">
      <c r="E17" t="b">
        <v>1</v>
      </c>
      <c r="G17">
        <f>IF(A17="","",A17&amp;" - "&amp;B17)</f>
        <v/>
      </c>
      <c r="H17" t="inlineStr">
        <is>
          <t>pcs</t>
        </is>
      </c>
    </row>
    <row r="18">
      <c r="E18" t="b">
        <v>1</v>
      </c>
      <c r="G18">
        <f>IF(A18="","",A18&amp;" - "&amp;B18)</f>
        <v/>
      </c>
      <c r="H18" t="inlineStr">
        <is>
          <t>pcs</t>
        </is>
      </c>
    </row>
    <row r="19">
      <c r="E19" t="b">
        <v>1</v>
      </c>
      <c r="G19">
        <f>IF(A19="","",A19&amp;" - "&amp;B19)</f>
        <v/>
      </c>
      <c r="H19" t="inlineStr">
        <is>
          <t>pcs</t>
        </is>
      </c>
    </row>
    <row r="20">
      <c r="E20" t="b">
        <v>1</v>
      </c>
      <c r="G20">
        <f>IF(A20="","",A20&amp;" - "&amp;B20)</f>
        <v/>
      </c>
      <c r="H20" t="inlineStr">
        <is>
          <t>pcs</t>
        </is>
      </c>
    </row>
    <row r="21">
      <c r="E21" t="b">
        <v>1</v>
      </c>
      <c r="G21">
        <f>IF(A21="","",A21&amp;" - "&amp;B21)</f>
        <v/>
      </c>
      <c r="H21" t="inlineStr">
        <is>
          <t>pcs</t>
        </is>
      </c>
    </row>
    <row r="22">
      <c r="E22" t="b">
        <v>1</v>
      </c>
      <c r="G22">
        <f>IF(A22="","",A22&amp;" - "&amp;B22)</f>
        <v/>
      </c>
      <c r="H22" t="inlineStr">
        <is>
          <t>pcs</t>
        </is>
      </c>
    </row>
    <row r="23">
      <c r="E23" t="b">
        <v>1</v>
      </c>
      <c r="G23">
        <f>IF(A23="","",A23&amp;" - "&amp;B23)</f>
        <v/>
      </c>
      <c r="H23" t="inlineStr">
        <is>
          <t>pcs</t>
        </is>
      </c>
    </row>
    <row r="24">
      <c r="E24" t="b">
        <v>1</v>
      </c>
      <c r="G24">
        <f>IF(A24="","",A24&amp;" - "&amp;B24)</f>
        <v/>
      </c>
      <c r="H24" t="inlineStr">
        <is>
          <t>pcs</t>
        </is>
      </c>
    </row>
    <row r="25">
      <c r="E25" t="b">
        <v>1</v>
      </c>
      <c r="G25">
        <f>IF(A25="","",A25&amp;" - "&amp;B25)</f>
        <v/>
      </c>
      <c r="H25" t="inlineStr">
        <is>
          <t>pcs</t>
        </is>
      </c>
    </row>
    <row r="26">
      <c r="E26" t="b">
        <v>1</v>
      </c>
      <c r="G26">
        <f>IF(A26="","",A26&amp;" - "&amp;B26)</f>
        <v/>
      </c>
      <c r="H26" t="inlineStr">
        <is>
          <t>pcs</t>
        </is>
      </c>
    </row>
    <row r="27">
      <c r="E27" t="b">
        <v>1</v>
      </c>
      <c r="G27">
        <f>IF(A27="","",A27&amp;" - "&amp;B27)</f>
        <v/>
      </c>
      <c r="H27" t="inlineStr">
        <is>
          <t>pcs</t>
        </is>
      </c>
    </row>
    <row r="28">
      <c r="E28" t="b">
        <v>1</v>
      </c>
      <c r="G28">
        <f>IF(A28="","",A28&amp;" - "&amp;B28)</f>
        <v/>
      </c>
      <c r="H28" t="inlineStr">
        <is>
          <t>pcs</t>
        </is>
      </c>
    </row>
    <row r="29">
      <c r="E29" t="b">
        <v>1</v>
      </c>
      <c r="G29">
        <f>IF(A29="","",A29&amp;" - "&amp;B29)</f>
        <v/>
      </c>
      <c r="H29" t="inlineStr">
        <is>
          <t>pcs</t>
        </is>
      </c>
    </row>
    <row r="30">
      <c r="E30" t="b">
        <v>1</v>
      </c>
      <c r="G30">
        <f>IF(A30="","",A30&amp;" - "&amp;B30)</f>
        <v/>
      </c>
      <c r="H30" t="inlineStr">
        <is>
          <t>pcs</t>
        </is>
      </c>
    </row>
    <row r="31">
      <c r="E31" t="b">
        <v>1</v>
      </c>
      <c r="G31">
        <f>IF(A31="","",A31&amp;" - "&amp;B31)</f>
        <v/>
      </c>
      <c r="H31" t="inlineStr">
        <is>
          <t>pcs</t>
        </is>
      </c>
    </row>
    <row r="32">
      <c r="E32" t="b">
        <v>1</v>
      </c>
      <c r="G32">
        <f>IF(A32="","",A32&amp;" - "&amp;B32)</f>
        <v/>
      </c>
      <c r="H32" t="inlineStr">
        <is>
          <t>pcs</t>
        </is>
      </c>
    </row>
    <row r="33">
      <c r="E33" t="b">
        <v>1</v>
      </c>
      <c r="G33">
        <f>IF(A33="","",A33&amp;" - "&amp;B33)</f>
        <v/>
      </c>
      <c r="H33" t="inlineStr">
        <is>
          <t>pcs</t>
        </is>
      </c>
    </row>
    <row r="34">
      <c r="E34" t="b">
        <v>1</v>
      </c>
      <c r="G34">
        <f>IF(A34="","",A34&amp;" - "&amp;B34)</f>
        <v/>
      </c>
      <c r="H34" t="inlineStr">
        <is>
          <t>pcs</t>
        </is>
      </c>
    </row>
    <row r="35">
      <c r="E35" t="b">
        <v>1</v>
      </c>
      <c r="G35">
        <f>IF(A35="","",A35&amp;" - "&amp;B35)</f>
        <v/>
      </c>
      <c r="H35" t="inlineStr">
        <is>
          <t>pcs</t>
        </is>
      </c>
    </row>
    <row r="36">
      <c r="E36" t="b">
        <v>1</v>
      </c>
      <c r="G36">
        <f>IF(A36="","",A36&amp;" - "&amp;B36)</f>
        <v/>
      </c>
      <c r="H36" t="inlineStr">
        <is>
          <t>pcs</t>
        </is>
      </c>
    </row>
    <row r="37">
      <c r="E37" t="b">
        <v>1</v>
      </c>
      <c r="G37">
        <f>IF(A37="","",A37&amp;" - "&amp;B37)</f>
        <v/>
      </c>
      <c r="H37" t="inlineStr">
        <is>
          <t>pcs</t>
        </is>
      </c>
    </row>
    <row r="38">
      <c r="E38" t="b">
        <v>1</v>
      </c>
      <c r="G38">
        <f>IF(A38="","",A38&amp;" - "&amp;B38)</f>
        <v/>
      </c>
      <c r="H38" t="inlineStr">
        <is>
          <t>pcs</t>
        </is>
      </c>
    </row>
    <row r="39">
      <c r="E39" t="b">
        <v>1</v>
      </c>
      <c r="G39">
        <f>IF(A39="","",A39&amp;" - "&amp;B39)</f>
        <v/>
      </c>
      <c r="H39" t="inlineStr">
        <is>
          <t>pcs</t>
        </is>
      </c>
    </row>
    <row r="40">
      <c r="E40" t="b">
        <v>1</v>
      </c>
      <c r="G40">
        <f>IF(A40="","",A40&amp;" - "&amp;B40)</f>
        <v/>
      </c>
      <c r="H40" t="inlineStr">
        <is>
          <t>pcs</t>
        </is>
      </c>
    </row>
    <row r="41">
      <c r="E41" t="b">
        <v>1</v>
      </c>
      <c r="G41">
        <f>IF(A41="","",A41&amp;" - "&amp;B41)</f>
        <v/>
      </c>
      <c r="H41" t="inlineStr">
        <is>
          <t>pcs</t>
        </is>
      </c>
    </row>
    <row r="42">
      <c r="E42" t="b">
        <v>1</v>
      </c>
      <c r="G42">
        <f>IF(A42="","",A42&amp;" - "&amp;B42)</f>
        <v/>
      </c>
      <c r="H42" t="inlineStr">
        <is>
          <t>pcs</t>
        </is>
      </c>
    </row>
    <row r="43">
      <c r="E43" t="b">
        <v>1</v>
      </c>
      <c r="G43">
        <f>IF(A43="","",A43&amp;" - "&amp;B43)</f>
        <v/>
      </c>
      <c r="H43" t="inlineStr">
        <is>
          <t>pcs</t>
        </is>
      </c>
    </row>
    <row r="44">
      <c r="E44" t="b">
        <v>1</v>
      </c>
      <c r="G44">
        <f>IF(A44="","",A44&amp;" - "&amp;B44)</f>
        <v/>
      </c>
      <c r="H44" t="inlineStr">
        <is>
          <t>pcs</t>
        </is>
      </c>
    </row>
    <row r="45">
      <c r="E45" t="b">
        <v>1</v>
      </c>
      <c r="G45">
        <f>IF(A45="","",A45&amp;" - "&amp;B45)</f>
        <v/>
      </c>
      <c r="H45" t="inlineStr">
        <is>
          <t>pcs</t>
        </is>
      </c>
    </row>
    <row r="46">
      <c r="E46" t="b">
        <v>1</v>
      </c>
      <c r="G46">
        <f>IF(A46="","",A46&amp;" - "&amp;B46)</f>
        <v/>
      </c>
      <c r="H46" t="inlineStr">
        <is>
          <t>pcs</t>
        </is>
      </c>
    </row>
    <row r="47">
      <c r="E47" t="b">
        <v>1</v>
      </c>
      <c r="G47">
        <f>IF(A47="","",A47&amp;" - "&amp;B47)</f>
        <v/>
      </c>
      <c r="H47" t="inlineStr">
        <is>
          <t>pcs</t>
        </is>
      </c>
    </row>
    <row r="48">
      <c r="E48" t="b">
        <v>1</v>
      </c>
      <c r="G48">
        <f>IF(A48="","",A48&amp;" - "&amp;B48)</f>
        <v/>
      </c>
      <c r="H48" t="inlineStr">
        <is>
          <t>pcs</t>
        </is>
      </c>
    </row>
    <row r="49">
      <c r="E49" t="b">
        <v>1</v>
      </c>
      <c r="G49">
        <f>IF(A49="","",A49&amp;" - "&amp;B49)</f>
        <v/>
      </c>
      <c r="H49" t="inlineStr">
        <is>
          <t>pcs</t>
        </is>
      </c>
    </row>
    <row r="50">
      <c r="E50" t="b">
        <v>1</v>
      </c>
      <c r="G50">
        <f>IF(A50="","",A50&amp;" - "&amp;B50)</f>
        <v/>
      </c>
      <c r="H50" t="inlineStr">
        <is>
          <t>pcs</t>
        </is>
      </c>
    </row>
    <row r="51">
      <c r="E51" t="b">
        <v>1</v>
      </c>
      <c r="G51">
        <f>IF(A51="","",A51&amp;" - "&amp;B51)</f>
        <v/>
      </c>
      <c r="H51" t="inlineStr">
        <is>
          <t>pcs</t>
        </is>
      </c>
    </row>
    <row r="52">
      <c r="E52" t="b">
        <v>1</v>
      </c>
      <c r="G52">
        <f>IF(A52="","",A52&amp;" - "&amp;B52)</f>
        <v/>
      </c>
      <c r="H52" t="inlineStr">
        <is>
          <t>pcs</t>
        </is>
      </c>
    </row>
    <row r="53">
      <c r="E53" t="b">
        <v>1</v>
      </c>
      <c r="G53">
        <f>IF(A53="","",A53&amp;" - "&amp;B53)</f>
        <v/>
      </c>
      <c r="H53" t="inlineStr">
        <is>
          <t>pcs</t>
        </is>
      </c>
    </row>
    <row r="54">
      <c r="E54" t="b">
        <v>1</v>
      </c>
      <c r="G54">
        <f>IF(A54="","",A54&amp;" - "&amp;B54)</f>
        <v/>
      </c>
      <c r="H54" t="inlineStr">
        <is>
          <t>pcs</t>
        </is>
      </c>
    </row>
    <row r="55">
      <c r="E55" t="b">
        <v>1</v>
      </c>
      <c r="G55">
        <f>IF(A55="","",A55&amp;" - "&amp;B55)</f>
        <v/>
      </c>
      <c r="H55" t="inlineStr">
        <is>
          <t>pcs</t>
        </is>
      </c>
    </row>
    <row r="56">
      <c r="E56" t="b">
        <v>1</v>
      </c>
      <c r="G56">
        <f>IF(A56="","",A56&amp;" - "&amp;B56)</f>
        <v/>
      </c>
      <c r="H56" t="inlineStr">
        <is>
          <t>pcs</t>
        </is>
      </c>
    </row>
    <row r="57">
      <c r="E57" t="b">
        <v>1</v>
      </c>
      <c r="G57">
        <f>IF(A57="","",A57&amp;" - "&amp;B57)</f>
        <v/>
      </c>
      <c r="H57" t="inlineStr">
        <is>
          <t>pcs</t>
        </is>
      </c>
    </row>
    <row r="58">
      <c r="E58" t="b">
        <v>1</v>
      </c>
      <c r="G58">
        <f>IF(A58="","",A58&amp;" - "&amp;B58)</f>
        <v/>
      </c>
      <c r="H58" t="inlineStr">
        <is>
          <t>pcs</t>
        </is>
      </c>
    </row>
    <row r="59">
      <c r="E59" t="b">
        <v>1</v>
      </c>
      <c r="G59">
        <f>IF(A59="","",A59&amp;" - "&amp;B59)</f>
        <v/>
      </c>
      <c r="H59" t="inlineStr">
        <is>
          <t>pcs</t>
        </is>
      </c>
    </row>
    <row r="60">
      <c r="E60" t="b">
        <v>1</v>
      </c>
      <c r="G60">
        <f>IF(A60="","",A60&amp;" - "&amp;B60)</f>
        <v/>
      </c>
      <c r="H60" t="inlineStr">
        <is>
          <t>pcs</t>
        </is>
      </c>
    </row>
    <row r="61">
      <c r="E61" t="b">
        <v>1</v>
      </c>
      <c r="G61">
        <f>IF(A61="","",A61&amp;" - "&amp;B61)</f>
        <v/>
      </c>
      <c r="H61" t="inlineStr">
        <is>
          <t>pcs</t>
        </is>
      </c>
    </row>
    <row r="62">
      <c r="E62" t="b">
        <v>1</v>
      </c>
      <c r="G62">
        <f>IF(A62="","",A62&amp;" - "&amp;B62)</f>
        <v/>
      </c>
      <c r="H62" t="inlineStr">
        <is>
          <t>pcs</t>
        </is>
      </c>
    </row>
    <row r="63">
      <c r="E63" t="b">
        <v>1</v>
      </c>
      <c r="G63">
        <f>IF(A63="","",A63&amp;" - "&amp;B63)</f>
        <v/>
      </c>
      <c r="H63" t="inlineStr">
        <is>
          <t>pcs</t>
        </is>
      </c>
    </row>
    <row r="64">
      <c r="E64" t="b">
        <v>1</v>
      </c>
      <c r="G64">
        <f>IF(A64="","",A64&amp;" - "&amp;B64)</f>
        <v/>
      </c>
      <c r="H64" t="inlineStr">
        <is>
          <t>pcs</t>
        </is>
      </c>
    </row>
    <row r="65">
      <c r="E65" t="b">
        <v>1</v>
      </c>
      <c r="G65">
        <f>IF(A65="","",A65&amp;" - "&amp;B65)</f>
        <v/>
      </c>
      <c r="H65" t="inlineStr">
        <is>
          <t>pcs</t>
        </is>
      </c>
    </row>
    <row r="66">
      <c r="E66" t="b">
        <v>1</v>
      </c>
      <c r="G66">
        <f>IF(A66="","",A66&amp;" - "&amp;B66)</f>
        <v/>
      </c>
      <c r="H66" t="inlineStr">
        <is>
          <t>pcs</t>
        </is>
      </c>
    </row>
    <row r="67">
      <c r="E67" t="b">
        <v>1</v>
      </c>
      <c r="G67">
        <f>IF(A67="","",A67&amp;" - "&amp;B67)</f>
        <v/>
      </c>
      <c r="H67" t="inlineStr">
        <is>
          <t>pcs</t>
        </is>
      </c>
    </row>
    <row r="68">
      <c r="E68" t="b">
        <v>1</v>
      </c>
      <c r="G68">
        <f>IF(A68="","",A68&amp;" - "&amp;B68)</f>
        <v/>
      </c>
      <c r="H68" t="inlineStr">
        <is>
          <t>pcs</t>
        </is>
      </c>
    </row>
    <row r="69">
      <c r="E69" t="b">
        <v>1</v>
      </c>
      <c r="G69">
        <f>IF(A69="","",A69&amp;" - "&amp;B69)</f>
        <v/>
      </c>
      <c r="H69" t="inlineStr">
        <is>
          <t>pcs</t>
        </is>
      </c>
    </row>
    <row r="70">
      <c r="E70" t="b">
        <v>1</v>
      </c>
      <c r="G70">
        <f>IF(A70="","",A70&amp;" - "&amp;B70)</f>
        <v/>
      </c>
      <c r="H70" t="inlineStr">
        <is>
          <t>pcs</t>
        </is>
      </c>
    </row>
    <row r="71">
      <c r="E71" t="b">
        <v>1</v>
      </c>
      <c r="G71">
        <f>IF(A71="","",A71&amp;" - "&amp;B71)</f>
        <v/>
      </c>
      <c r="H71" t="inlineStr">
        <is>
          <t>pcs</t>
        </is>
      </c>
    </row>
    <row r="72">
      <c r="E72" t="b">
        <v>1</v>
      </c>
      <c r="G72">
        <f>IF(A72="","",A72&amp;" - "&amp;B72)</f>
        <v/>
      </c>
      <c r="H72" t="inlineStr">
        <is>
          <t>pcs</t>
        </is>
      </c>
    </row>
    <row r="73">
      <c r="E73" t="b">
        <v>1</v>
      </c>
      <c r="G73">
        <f>IF(A73="","",A73&amp;" - "&amp;B73)</f>
        <v/>
      </c>
      <c r="H73" t="inlineStr">
        <is>
          <t>pcs</t>
        </is>
      </c>
    </row>
    <row r="74">
      <c r="E74" t="b">
        <v>1</v>
      </c>
      <c r="G74">
        <f>IF(A74="","",A74&amp;" - "&amp;B74)</f>
        <v/>
      </c>
      <c r="H74" t="inlineStr">
        <is>
          <t>pcs</t>
        </is>
      </c>
    </row>
    <row r="75">
      <c r="E75" t="b">
        <v>1</v>
      </c>
      <c r="G75">
        <f>IF(A75="","",A75&amp;" - "&amp;B75)</f>
        <v/>
      </c>
      <c r="H75" t="inlineStr">
        <is>
          <t>pcs</t>
        </is>
      </c>
    </row>
    <row r="76">
      <c r="E76" t="b">
        <v>1</v>
      </c>
      <c r="G76">
        <f>IF(A76="","",A76&amp;" - "&amp;B76)</f>
        <v/>
      </c>
      <c r="H76" t="inlineStr">
        <is>
          <t>pcs</t>
        </is>
      </c>
    </row>
    <row r="77">
      <c r="E77" t="b">
        <v>1</v>
      </c>
      <c r="G77">
        <f>IF(A77="","",A77&amp;" - "&amp;B77)</f>
        <v/>
      </c>
      <c r="H77" t="inlineStr">
        <is>
          <t>pcs</t>
        </is>
      </c>
    </row>
    <row r="78">
      <c r="E78" t="b">
        <v>1</v>
      </c>
      <c r="G78">
        <f>IF(A78="","",A78&amp;" - "&amp;B78)</f>
        <v/>
      </c>
      <c r="H78" t="inlineStr">
        <is>
          <t>pcs</t>
        </is>
      </c>
    </row>
    <row r="79">
      <c r="E79" t="b">
        <v>1</v>
      </c>
      <c r="G79">
        <f>IF(A79="","",A79&amp;" - "&amp;B79)</f>
        <v/>
      </c>
      <c r="H79" t="inlineStr">
        <is>
          <t>pcs</t>
        </is>
      </c>
    </row>
    <row r="80">
      <c r="E80" t="b">
        <v>1</v>
      </c>
      <c r="G80">
        <f>IF(A80="","",A80&amp;" - "&amp;B80)</f>
        <v/>
      </c>
      <c r="H80" t="inlineStr">
        <is>
          <t>pcs</t>
        </is>
      </c>
    </row>
    <row r="81">
      <c r="E81" t="b">
        <v>1</v>
      </c>
      <c r="G81">
        <f>IF(A81="","",A81&amp;" - "&amp;B81)</f>
        <v/>
      </c>
      <c r="H81" t="inlineStr">
        <is>
          <t>pcs</t>
        </is>
      </c>
    </row>
    <row r="82">
      <c r="E82" t="b">
        <v>1</v>
      </c>
      <c r="G82">
        <f>IF(A82="","",A82&amp;" - "&amp;B82)</f>
        <v/>
      </c>
      <c r="H82" t="inlineStr">
        <is>
          <t>pcs</t>
        </is>
      </c>
    </row>
    <row r="83">
      <c r="E83" t="b">
        <v>1</v>
      </c>
      <c r="G83">
        <f>IF(A83="","",A83&amp;" - "&amp;B83)</f>
        <v/>
      </c>
      <c r="H83" t="inlineStr">
        <is>
          <t>pcs</t>
        </is>
      </c>
    </row>
    <row r="84">
      <c r="E84" t="b">
        <v>1</v>
      </c>
      <c r="G84">
        <f>IF(A84="","",A84&amp;" - "&amp;B84)</f>
        <v/>
      </c>
      <c r="H84" t="inlineStr">
        <is>
          <t>pcs</t>
        </is>
      </c>
    </row>
    <row r="85">
      <c r="E85" t="b">
        <v>1</v>
      </c>
      <c r="G85">
        <f>IF(A85="","",A85&amp;" - "&amp;B85)</f>
        <v/>
      </c>
      <c r="H85" t="inlineStr">
        <is>
          <t>pcs</t>
        </is>
      </c>
    </row>
    <row r="86">
      <c r="E86" t="b">
        <v>1</v>
      </c>
      <c r="G86">
        <f>IF(A86="","",A86&amp;" - "&amp;B86)</f>
        <v/>
      </c>
      <c r="H86" t="inlineStr">
        <is>
          <t>pcs</t>
        </is>
      </c>
    </row>
    <row r="87">
      <c r="E87" t="b">
        <v>1</v>
      </c>
      <c r="G87">
        <f>IF(A87="","",A87&amp;" - "&amp;B87)</f>
        <v/>
      </c>
      <c r="H87" t="inlineStr">
        <is>
          <t>pcs</t>
        </is>
      </c>
    </row>
    <row r="88">
      <c r="E88" t="b">
        <v>1</v>
      </c>
      <c r="G88">
        <f>IF(A88="","",A88&amp;" - "&amp;B88)</f>
        <v/>
      </c>
      <c r="H88" t="inlineStr">
        <is>
          <t>pcs</t>
        </is>
      </c>
    </row>
    <row r="89">
      <c r="E89" t="b">
        <v>1</v>
      </c>
      <c r="G89">
        <f>IF(A89="","",A89&amp;" - "&amp;B89)</f>
        <v/>
      </c>
      <c r="H89" t="inlineStr">
        <is>
          <t>pcs</t>
        </is>
      </c>
    </row>
    <row r="90">
      <c r="E90" t="b">
        <v>1</v>
      </c>
      <c r="G90">
        <f>IF(A90="","",A90&amp;" - "&amp;B90)</f>
        <v/>
      </c>
      <c r="H90" t="inlineStr">
        <is>
          <t>pcs</t>
        </is>
      </c>
    </row>
    <row r="91">
      <c r="E91" t="b">
        <v>1</v>
      </c>
      <c r="G91">
        <f>IF(A91="","",A91&amp;" - "&amp;B91)</f>
        <v/>
      </c>
      <c r="H91" t="inlineStr">
        <is>
          <t>pcs</t>
        </is>
      </c>
    </row>
    <row r="92">
      <c r="E92" t="b">
        <v>1</v>
      </c>
      <c r="G92">
        <f>IF(A92="","",A92&amp;" - "&amp;B92)</f>
        <v/>
      </c>
      <c r="H92" t="inlineStr">
        <is>
          <t>pcs</t>
        </is>
      </c>
    </row>
    <row r="93">
      <c r="E93" t="b">
        <v>1</v>
      </c>
      <c r="G93">
        <f>IF(A93="","",A93&amp;" - "&amp;B93)</f>
        <v/>
      </c>
      <c r="H93" t="inlineStr">
        <is>
          <t>pcs</t>
        </is>
      </c>
    </row>
    <row r="94">
      <c r="E94" t="b">
        <v>1</v>
      </c>
      <c r="G94">
        <f>IF(A94="","",A94&amp;" - "&amp;B94)</f>
        <v/>
      </c>
      <c r="H94" t="inlineStr">
        <is>
          <t>pcs</t>
        </is>
      </c>
    </row>
    <row r="95">
      <c r="E95" t="b">
        <v>1</v>
      </c>
      <c r="G95">
        <f>IF(A95="","",A95&amp;" - "&amp;B95)</f>
        <v/>
      </c>
      <c r="H95" t="inlineStr">
        <is>
          <t>pcs</t>
        </is>
      </c>
    </row>
    <row r="96">
      <c r="E96" t="b">
        <v>1</v>
      </c>
      <c r="G96">
        <f>IF(A96="","",A96&amp;" - "&amp;B96)</f>
        <v/>
      </c>
      <c r="H96" t="inlineStr">
        <is>
          <t>pcs</t>
        </is>
      </c>
    </row>
    <row r="97">
      <c r="E97" t="b">
        <v>1</v>
      </c>
      <c r="G97">
        <f>IF(A97="","",A97&amp;" - "&amp;B97)</f>
        <v/>
      </c>
      <c r="H97" t="inlineStr">
        <is>
          <t>pcs</t>
        </is>
      </c>
    </row>
    <row r="98">
      <c r="E98" t="b">
        <v>1</v>
      </c>
      <c r="G98">
        <f>IF(A98="","",A98&amp;" - "&amp;B98)</f>
        <v/>
      </c>
      <c r="H98" t="inlineStr">
        <is>
          <t>pcs</t>
        </is>
      </c>
    </row>
    <row r="99">
      <c r="E99" t="b">
        <v>1</v>
      </c>
      <c r="G99">
        <f>IF(A99="","",A99&amp;" - "&amp;B99)</f>
        <v/>
      </c>
      <c r="H99" t="inlineStr">
        <is>
          <t>pcs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2026-07-04T06:56:14Z</dcterms:created>
  <dcterms:modified xmlns:dcterms="http://purl.org/dc/terms/" xmlns:xsi="http://www.w3.org/2001/XMLSchema-instance" xsi:type="dcterms:W3CDTF">2026-09-14T05:07:53Z</dcterms:modified>
  <cp:lastModifiedBy>Sikander Shahjahan</cp:lastModifiedBy>
</cp:coreProperties>
</file>