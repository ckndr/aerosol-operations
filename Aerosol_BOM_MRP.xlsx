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erosol\"/>
    </mc:Choice>
  </mc:AlternateContent>
  <xr:revisionPtr revIDLastSave="0" documentId="13_ncr:1_{86C33918-292C-4938-8128-D17142A929ED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MRP" sheetId="3" r:id="rId1"/>
    <sheet name="Inventory" sheetId="2" r:id="rId2"/>
    <sheet name="BOM" sheetId="1" r:id="rId3"/>
    <sheet name="BOM calcul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H3" i="2"/>
  <c r="J3" i="2" s="1"/>
  <c r="J1" i="2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H4" i="3"/>
  <c r="G4" i="3"/>
  <c r="F4" i="3"/>
  <c r="H3" i="3"/>
  <c r="J1" i="3"/>
  <c r="F21" i="3" l="1"/>
  <c r="F18" i="3"/>
  <c r="K15" i="3"/>
  <c r="F15" i="3"/>
  <c r="K8" i="3"/>
  <c r="K7" i="3"/>
  <c r="F22" i="3"/>
  <c r="F7" i="3"/>
  <c r="F20" i="3"/>
  <c r="K19" i="3"/>
  <c r="K20" i="3"/>
  <c r="F19" i="3"/>
  <c r="K18" i="3"/>
  <c r="F17" i="3"/>
  <c r="K17" i="3"/>
  <c r="K14" i="3"/>
  <c r="K16" i="3"/>
  <c r="F14" i="3"/>
  <c r="F16" i="3"/>
  <c r="K13" i="3"/>
  <c r="F8" i="3"/>
  <c r="K9" i="3"/>
  <c r="F9" i="3"/>
  <c r="F13" i="3"/>
  <c r="K12" i="3"/>
  <c r="F12" i="3"/>
  <c r="K11" i="3"/>
  <c r="K22" i="3"/>
  <c r="F11" i="3"/>
  <c r="K10" i="3"/>
  <c r="K21" i="3"/>
  <c r="F10" i="3"/>
  <c r="H21" i="3" l="1"/>
  <c r="I21" i="3"/>
  <c r="K17" i="2" s="1"/>
  <c r="J21" i="3"/>
  <c r="H18" i="3"/>
  <c r="I18" i="3"/>
  <c r="K14" i="2" s="1"/>
  <c r="J18" i="3"/>
  <c r="H15" i="3"/>
  <c r="I15" i="3"/>
  <c r="K11" i="2" s="1"/>
  <c r="J15" i="3"/>
  <c r="K20" i="2"/>
  <c r="H22" i="3"/>
  <c r="J22" i="3" s="1"/>
  <c r="I22" i="3"/>
  <c r="K18" i="2" s="1"/>
  <c r="H7" i="3"/>
  <c r="I7" i="3"/>
  <c r="K3" i="2" s="1"/>
  <c r="J7" i="3"/>
  <c r="H20" i="3"/>
  <c r="I20" i="3"/>
  <c r="K16" i="2" s="1"/>
  <c r="J20" i="3"/>
  <c r="H19" i="3"/>
  <c r="I19" i="3"/>
  <c r="K15" i="2" s="1"/>
  <c r="J19" i="3"/>
  <c r="H17" i="3"/>
  <c r="I17" i="3"/>
  <c r="K13" i="2" s="1"/>
  <c r="J17" i="3"/>
  <c r="H14" i="3"/>
  <c r="I14" i="3"/>
  <c r="K10" i="2" s="1"/>
  <c r="J14" i="3"/>
  <c r="H16" i="3"/>
  <c r="I16" i="3"/>
  <c r="K12" i="2" s="1"/>
  <c r="J16" i="3"/>
  <c r="H8" i="3"/>
  <c r="I8" i="3"/>
  <c r="K4" i="2" s="1"/>
  <c r="J8" i="3"/>
  <c r="H9" i="3"/>
  <c r="I9" i="3"/>
  <c r="K5" i="2" s="1"/>
  <c r="J9" i="3"/>
  <c r="H13" i="3"/>
  <c r="J13" i="3" s="1"/>
  <c r="I13" i="3"/>
  <c r="K9" i="2" s="1"/>
  <c r="K19" i="2"/>
  <c r="H12" i="3"/>
  <c r="I12" i="3"/>
  <c r="K8" i="2" s="1"/>
  <c r="J12" i="3"/>
  <c r="H11" i="3"/>
  <c r="I11" i="3"/>
  <c r="K7" i="2" s="1"/>
  <c r="J11" i="3"/>
  <c r="H10" i="3"/>
  <c r="I10" i="3"/>
  <c r="K6" i="2" s="1"/>
  <c r="J10" i="3"/>
</calcChain>
</file>

<file path=xl/sharedStrings.xml><?xml version="1.0" encoding="utf-8"?>
<sst xmlns="http://schemas.openxmlformats.org/spreadsheetml/2006/main" count="568" uniqueCount="258">
  <si>
    <t>OCTOBER 2026 Aerosol Required Orders</t>
  </si>
  <si>
    <t>Date:</t>
  </si>
  <si>
    <t>Dia</t>
  </si>
  <si>
    <t>Customer</t>
  </si>
  <si>
    <t>Product Name</t>
  </si>
  <si>
    <t>Product ID</t>
  </si>
  <si>
    <t>Job Order #</t>
  </si>
  <si>
    <t>Required Qty</t>
  </si>
  <si>
    <t>Produced</t>
  </si>
  <si>
    <t>Remaining Balance</t>
  </si>
  <si>
    <t>Remarks</t>
  </si>
  <si>
    <t>Phantom Client / Trial Run</t>
  </si>
  <si>
    <t>Aerosol Can 45x140mm</t>
  </si>
  <si>
    <t>Commissioning Trial Run (45x140mm @ 5.5mm Slug | Baseline: White/Gold/Glossy)</t>
  </si>
  <si>
    <t>TOTAL:</t>
  </si>
  <si>
    <t>Item ID</t>
  </si>
  <si>
    <t>Category</t>
  </si>
  <si>
    <t>Item Name</t>
  </si>
  <si>
    <t>UOM</t>
  </si>
  <si>
    <t>Scrap / Waste %
(Editable)</t>
  </si>
  <si>
    <t>Required Qty
(Gross)</t>
  </si>
  <si>
    <t>Current Stock
(Store + WIP)</t>
  </si>
  <si>
    <t>Surplus / (Deficit)</t>
  </si>
  <si>
    <t>Current Stock
Pieces Can Produce</t>
  </si>
  <si>
    <t>Status</t>
  </si>
  <si>
    <t>Product Name(s)</t>
  </si>
  <si>
    <t>Selection Remarks
(Only 1 Needed)</t>
  </si>
  <si>
    <t>501</t>
  </si>
  <si>
    <t>SLUG</t>
  </si>
  <si>
    <t>45mm Slug (5.5mm Thickness, Al 99.7%)</t>
  </si>
  <si>
    <t>kg</t>
  </si>
  <si>
    <t>Primary Slug (0.40mm Wall) — Choose 5.5mm OR 6.5mm: only 1 needed</t>
  </si>
  <si>
    <t>500</t>
  </si>
  <si>
    <t>45mm Slug (6.5mm Thickness, Heavy Wall)</t>
  </si>
  <si>
    <t>Alternate Slug (Heavy Wall) — Choose 5.5mm OR 6.5mm: only 1 needed</t>
  </si>
  <si>
    <t>502</t>
  </si>
  <si>
    <t>LUBRICANT</t>
  </si>
  <si>
    <t>Zinc Powder / SAPILUB LUBRIMET GR8</t>
  </si>
  <si>
    <t>Mandatory Extrusion Lubricant (105g / 100kg slugs tumbled)</t>
  </si>
  <si>
    <t>504</t>
  </si>
  <si>
    <t>LACQUER</t>
  </si>
  <si>
    <t>SCHEKOSOL INT PROT Gold (400 9 901)</t>
  </si>
  <si>
    <t>Primary Internal Lining (Gold) — Choose Gold OR Beige: only 1 needed</t>
  </si>
  <si>
    <t>505</t>
  </si>
  <si>
    <t>SCHEKOSOL INT BEIGE (400 4 902)</t>
  </si>
  <si>
    <t>Alternate Internal Lining (Beige) — Choose Gold OR Beige: only 1 needed</t>
  </si>
  <si>
    <t>506 9 901</t>
  </si>
  <si>
    <t>THINNER</t>
  </si>
  <si>
    <t>SCHEKOSOL Reducer 506 9 901 (Lacquer)</t>
  </si>
  <si>
    <t>Lacquer Reducer (Doubled rate: viscosity regulation + gun &amp; lance cleaning)</t>
  </si>
  <si>
    <t>506</t>
  </si>
  <si>
    <t>BASE COAT</t>
  </si>
  <si>
    <t>SCHEKOSOL WH BC (422 0 903) White</t>
  </si>
  <si>
    <t>Primary Ground Coat (White) — Choose White OR Clear: only 1 needed</t>
  </si>
  <si>
    <t>507</t>
  </si>
  <si>
    <t>SCHEKOSOL CLEAR BC (422 9 918) Clear</t>
  </si>
  <si>
    <t>Alternate Ground Coat (Clear) — Choose White OR Clear: only 1 needed</t>
  </si>
  <si>
    <t>506 9 003</t>
  </si>
  <si>
    <t>SCHEKOSOL Reducer 506 9 003 (Coating)</t>
  </si>
  <si>
    <t>Coating Reducer (Doubled rate: viscosity regulation + roller pan washing &amp; cleaning)</t>
  </si>
  <si>
    <t>508</t>
  </si>
  <si>
    <t>VARNISH</t>
  </si>
  <si>
    <t>SCHEKOSOL OPV GLOSSY (422 9 900)</t>
  </si>
  <si>
    <t>Primary Topcoat (Glossy) — Choose Glossy OR Silk-Matt: only 1 needed</t>
  </si>
  <si>
    <t>509</t>
  </si>
  <si>
    <t>SCHEKOSOL OPV SILKMATT (422 9 903)</t>
  </si>
  <si>
    <t>Alternate Topcoat (Silk-Matt) — Choose Glossy OR Silk-Matt: only 1 needed</t>
  </si>
  <si>
    <t>608</t>
  </si>
  <si>
    <t>INK</t>
  </si>
  <si>
    <t>SunAltec MB PLUS Cyan (168400)</t>
  </si>
  <si>
    <t>UV Offset Cyan (Station 1 — 17 vacuum tins of 2.5 kg)</t>
  </si>
  <si>
    <t>599</t>
  </si>
  <si>
    <t>SunAltec MB PLUS Yellow G/S (168391)</t>
  </si>
  <si>
    <t>UV Offset Yellow (Station 2 — 17 vacuum tins of 2.5 kg)</t>
  </si>
  <si>
    <t>601</t>
  </si>
  <si>
    <t>SunAltec MB PLUS Black Conc. (168404)</t>
  </si>
  <si>
    <t>UV Offset Black (Station 3 — 17 vacuum tins of 2.5 kg)</t>
  </si>
  <si>
    <t>600</t>
  </si>
  <si>
    <t>SunAltec MB PLUS Magenta (168396)</t>
  </si>
  <si>
    <t>UV Offset Magenta (Station 4 — 17 vacuum tins of 2.5 kg)</t>
  </si>
  <si>
    <t>503</t>
  </si>
  <si>
    <t>CLEANER</t>
  </si>
  <si>
    <t>SAPILUB ALULIQUID 13 (Washer Chem)</t>
  </si>
  <si>
    <t>Washer Chemical initial bath charge buffer</t>
  </si>
  <si>
    <t>PKG-BOX</t>
  </si>
  <si>
    <t>PACKING</t>
  </si>
  <si>
    <t>Corrugated Cartons (200 cans/box)</t>
  </si>
  <si>
    <t>Box</t>
  </si>
  <si>
    <t>PKG-PLT</t>
  </si>
  <si>
    <t>Wooden Pallets (3,000 cans/pallet)</t>
  </si>
  <si>
    <t>PLT</t>
  </si>
  <si>
    <t>BILL OF MATERIALS — Customer-Specific Monobloc Aerosol Cans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</si>
  <si>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</si>
  <si>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</si>
  <si>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</si>
  <si>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</si>
  <si>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</si>
  <si>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</si>
  <si>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</si>
  <si>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Option A Slug (0.40mm Wall) — Choose 5.5mm (501) OR 6.5mm (500): only 1 needed</t>
  </si>
  <si>
    <t>Option B Slug (Heavy Wall) — Choose 5.5mm (501) OR 6.5mm (500): only 1 needed</t>
  </si>
  <si>
    <t>Extrusion Lubricant</t>
  </si>
  <si>
    <t>Mandatory Tumbling Lubricant (TDS p.8: 105g/100kg slugs)</t>
  </si>
  <si>
    <t>Alkaline Cleaner</t>
  </si>
  <si>
    <t>Mandatory Washer Degreaser initial bath charge buffer (TDS p.22)</t>
  </si>
  <si>
    <t>Internal Lacquer</t>
  </si>
  <si>
    <t>Option A Internal Lining (Gold) — Choose Gold (504) OR Beige (505): only 1 needed</t>
  </si>
  <si>
    <t>Option B Internal Lining (Beige) — Choose Gold (504) OR Beige (505): only 1 needed</t>
  </si>
  <si>
    <t>Solvent Reducer</t>
  </si>
  <si>
    <t>Doubled rate (0.0276 kg/1k) for viscosity thinning (DIN 4 85s) + lance purging &amp; line cleaning</t>
  </si>
  <si>
    <t>External Base Coat</t>
  </si>
  <si>
    <t>Option A Ground Coat (White) — Choose White (506) OR Clear (507): only 1 needed</t>
  </si>
  <si>
    <t>Option B Ground Coat (Clear) — Choose White (506) OR Clear (507): only 1 needed</t>
  </si>
  <si>
    <t>Doubled rate (0.0368 kg/1k) for viscosity thinning (DIN 4 110s) + roller pan washouts &amp; coater cleaning</t>
  </si>
  <si>
    <t>Overprint Varnish</t>
  </si>
  <si>
    <t>Option A Topcoat (Glossy) — Choose Glossy (508) OR Silk-Matt (509): only 1 needed</t>
  </si>
  <si>
    <t>Option B Topcoat (Silk-Matt) — Choose Glossy (508) OR Silk-Matt (509): only 1 needed</t>
  </si>
  <si>
    <t>UV Offset Inks</t>
  </si>
  <si>
    <t>Locked commissioning rate 0.280 kg/1000 gross (TDS p.5)</t>
  </si>
  <si>
    <t>Packaging Corrugated</t>
  </si>
  <si>
    <t>5% packaging setup &amp; taping scrap (200 cans/box)</t>
  </si>
  <si>
    <t>Packaging Logistics</t>
  </si>
  <si>
    <t>2% logistics buffer (15 cartons/pallet = 3,000 cans/pallet)</t>
  </si>
  <si>
    <t>Alternate Client / Brushed Finish</t>
  </si>
  <si>
    <t>Aerosol Can 45x140mm - Beige/Matt</t>
  </si>
  <si>
    <t>Standard slug specification</t>
  </si>
  <si>
    <t>Mandatory Tumbling Lubricant</t>
  </si>
  <si>
    <t>Mandatory Washer Degreaser</t>
  </si>
  <si>
    <t>Internal Beige Lining (TDS p.3)</t>
  </si>
  <si>
    <t>Clear Base Coat (TDS p.35)</t>
  </si>
  <si>
    <t>Silk-Matt Varnish (TDS p.36)</t>
  </si>
  <si>
    <t>Packaging Cartons</t>
  </si>
  <si>
    <t>Logistics Pallets</t>
  </si>
  <si>
    <t>AEROSOL RAW MATERIAL INVENTORY LEDGER (PLANT STORE + WIP)</t>
  </si>
  <si>
    <t>Item Name (ERP)</t>
  </si>
  <si>
    <t>Opening</t>
  </si>
  <si>
    <t>Received</t>
  </si>
  <si>
    <t>Issued</t>
  </si>
  <si>
    <t>Store Balance</t>
  </si>
  <si>
    <t>WIP</t>
  </si>
  <si>
    <t>Total Stock</t>
  </si>
  <si>
    <t>Pieces Can Produce</t>
  </si>
  <si>
    <t>ALPHA AEROSOLS — RAW MATERIAL AUDIT &amp; CALCULATION LOGIC</t>
  </si>
  <si>
    <t>Production Run: 150,000 Cans | Container Size: Ø 45 mm × 140 mm Trimmed Height | Slug: Ø 45.0 mm × 5.5 mm (Al 99.7%)</t>
  </si>
  <si>
    <t>1. CONTAINER GEOMETRY &amp; STARTING DIMENSIONS (THE PHYSICAL FOUNDATION)</t>
  </si>
  <si>
    <t>All calculations originate from physical Euclidean dimensions and the density of pure aluminum (EN AW-1070A = 2.70 g/cm³):</t>
  </si>
  <si>
    <t>Parameter</t>
  </si>
  <si>
    <t>Formula</t>
  </si>
  <si>
    <t>Value</t>
  </si>
  <si>
    <t>Unit</t>
  </si>
  <si>
    <t>Source Document / Engineering Note</t>
  </si>
  <si>
    <t>Slug Diameter</t>
  </si>
  <si>
    <t>D_slug</t>
  </si>
  <si>
    <t>mm</t>
  </si>
  <si>
    <t>Tooling specification for 45mm cold impact extrusion die</t>
  </si>
  <si>
    <t>Slug Thickness (Standard)</t>
  </si>
  <si>
    <t>T_slug</t>
  </si>
  <si>
    <t>Option A nominal slug thickness for 0.40mm body wall specification</t>
  </si>
  <si>
    <t>Slug Thickness (Heavy Wall)</t>
  </si>
  <si>
    <t>Option B nominal slug thickness for 0.45mm body wall specification</t>
  </si>
  <si>
    <t>Trimmed Can Height</t>
  </si>
  <si>
    <t>H_trim</t>
  </si>
  <si>
    <t>User Specified: Trimmer knife cutoff height prior to necking</t>
  </si>
  <si>
    <t>Slug Net Mass (5.5mm)</t>
  </si>
  <si>
    <t>Volume × 2.70 g/cm³</t>
  </si>
  <si>
    <t>g / slug</t>
  </si>
  <si>
    <t>Net weight per slug disc = 23.618 kg per 1,000 slugs</t>
  </si>
  <si>
    <t>Slug Net Mass (6.5mm)</t>
  </si>
  <si>
    <t>Net weight per slug disc = 27.912 kg per 1,000 slugs</t>
  </si>
  <si>
    <t>Outside Coater Area</t>
  </si>
  <si>
    <t>π × D × H</t>
  </si>
  <si>
    <t>m² / can</t>
  </si>
  <si>
    <t>External roller coater surface area (Base coat &amp; Varnish)</t>
  </si>
  <si>
    <t>Inside Spray Area</t>
  </si>
  <si>
    <t>Cylinder + Dome</t>
  </si>
  <si>
    <t>Internal spray lance coverage area (Wall 0.01979 + Dome 0.00118 m²)</t>
  </si>
  <si>
    <t>Net Slugs for 150k Cans</t>
  </si>
  <si>
    <t>150,000 × 23.618g</t>
  </si>
  <si>
    <t>Zero-scrap net metal required for 150,000 finished cans (5.5mm slug)</t>
  </si>
  <si>
    <t>2. MASTER MATERIAL AUDIT &amp; EXACT DOCUMENT SOURCES (FOR 150,000 CANS)</t>
  </si>
  <si>
    <t>This table provides exact calculations for BOTH primary and alternative options (only 1 needed per category):</t>
  </si>
  <si>
    <t>Item Code</t>
  </si>
  <si>
    <t>Material Name</t>
  </si>
  <si>
    <t>Net Rate / 1k</t>
  </si>
  <si>
    <t>Gross Req (150k)</t>
  </si>
  <si>
    <t>Floor Stock</t>
  </si>
  <si>
    <t>Deficit</t>
  </si>
  <si>
    <t>Exact Document Source</t>
  </si>
  <si>
    <t>Selection Rule &amp; Engineering Logic</t>
  </si>
  <si>
    <t>45mm Slug (5.5mm Thickness)</t>
  </si>
  <si>
    <t>Tooling Spec &amp; Math</t>
  </si>
  <si>
    <t>Option A Slug (0.40mm wall). 176,471 slugs needed. Choose 5.5mm OR 6.5mm: only 1 needed.</t>
  </si>
  <si>
    <t>45mm Slug (6.5mm Heavy Wall)</t>
  </si>
  <si>
    <t>Option B Slug (0.45mm wall). 176,471 slugs needed. Choose 5.5mm OR 6.5mm: only 1 needed.</t>
  </si>
  <si>
    <t>Zinc Powder / SAPILUB GR8</t>
  </si>
  <si>
    <t>TDS.pdf, Page 8</t>
  </si>
  <si>
    <t>Extrusion lubricant. Dosage spec: 105g per 100kg slugs (tumbled with slugs before extrusion).</t>
  </si>
  <si>
    <t>SAPILUB ALULIQUID 13 (Cleaner)</t>
  </si>
  <si>
    <t>TDS.pdf, Page 22</t>
  </si>
  <si>
    <t>Alkaline spray degreaser for wash tanks. 5 kg/1000 cans initial tank charge and wash buffer.</t>
  </si>
  <si>
    <t>SCHEKOSOL Gold Lacquer (400 9 901)</t>
  </si>
  <si>
    <t>TDS.pdf, Page 2</t>
  </si>
  <si>
    <t>Option A Internal Lining (Gold). TDS wet film: 44 g/m². Choose Gold OR Beige: only 1 needed.</t>
  </si>
  <si>
    <t>SCHEKOSOL Beige Lacquer (400 4 902)</t>
  </si>
  <si>
    <t>TDS.pdf, Page 3</t>
  </si>
  <si>
    <t>Option B Internal Lining (Beige). TDS wet film: 48 g/m². Choose Gold OR Beige: only 1 needed.</t>
  </si>
  <si>
    <t>Lacquer Thinner (506 9 901)</t>
  </si>
  <si>
    <t>TDS.pdf &amp; SOP Cleaning Rate</t>
  </si>
  <si>
    <t>Doubled rate (0.0276 kg/1k) covers lacquer viscosity thinning (DIN 4 cup 85s) plus routine airless spray lance purging and nozzle blowouts.</t>
  </si>
  <si>
    <t>SCHEKOSOL White Base Coat (422 0 903)</t>
  </si>
  <si>
    <t>TDS.pdf, Page 1</t>
  </si>
  <si>
    <t>Option A Ground Coat (White). TDS wet film: 43 g/m² (71% solids). Choose White OR Clear: only 1 needed.</t>
  </si>
  <si>
    <t>SCHEKOSOL Clear Base Coat (422 9 918)</t>
  </si>
  <si>
    <t>TDS.pdf, Page 35</t>
  </si>
  <si>
    <t>Option B Ground Coat (Clear). TDS wet film: 31 g/m² (51% solids). Choose White OR Clear: only 1 needed.</t>
  </si>
  <si>
    <t>Base Coat Thinner (506 9 003)</t>
  </si>
  <si>
    <t>Doubled rate (0.0368 kg/1k) covers base coat viscosity thinning (DIN 4 cup 110s) plus roller coater pan washouts and doctor blade cleanups.</t>
  </si>
  <si>
    <t>SCHEKOSOL OPV Glossy Varnish (422 9 900)</t>
  </si>
  <si>
    <t>TDS.pdf, Page 37</t>
  </si>
  <si>
    <t>Option A Topcoat (Glossy). TDS wet film: 19 g/m² (43% solids). Choose Glossy OR Silk-Matt: only 1 needed.</t>
  </si>
  <si>
    <t>SCHEKOSOL OPV Silk-Matt Varnish (422 9 903)</t>
  </si>
  <si>
    <t>TDS.pdf, Page 36</t>
  </si>
  <si>
    <t>Option B Topcoat (Silk-Matt). TDS wet film: 17 g/m² (47% solids). Choose Glossy OR Silk-Matt: only 1 needed.</t>
  </si>
  <si>
    <t>UV Ink Cyan (168400)</t>
  </si>
  <si>
    <t>TDS.pdf, Page 5</t>
  </si>
  <si>
    <t>Dry offset UV printing ink. Locked commissioning rate: 0.280 kg/1000 cans gross (17 vacuum tins of 2.5 kg).</t>
  </si>
  <si>
    <t>UV Ink Yellow (168391)</t>
  </si>
  <si>
    <t>UV Ink Black Conc. (168404)</t>
  </si>
  <si>
    <t>UV Ink Magenta (168396)</t>
  </si>
  <si>
    <t>Packaging Standard</t>
  </si>
  <si>
    <t>200 cans packed per box. Gross includes 5% taping/assembly setup allowance.</t>
  </si>
  <si>
    <t>15 boxes per pallet = 3,000 cans/pallet. Gross includes 2% handling allowance.</t>
  </si>
  <si>
    <t>3. WHY WE DIVIDE BY (1 - SCRAP) INSTEAD OF MULTIPLYING (MASS BALANCE PHYSICS)</t>
  </si>
  <si>
    <t>• Common Shop-Floor Mistake (Additive Model): People often calculate: Gross = Net × (1 + Scrap).</t>
  </si>
  <si>
    <t xml:space="preserve">    - At 15% scrap on 150,000 cans: 150,000 × 1.15 = 172,500 slugs.</t>
  </si>
  <si>
    <t xml:space="preserve">    - But when 172,500 slugs enter the press, 15% scrap is lost on INPUT: 172,500 × 0.85 = 146,625 cans produced.</t>
  </si>
  <si>
    <t xml:space="preserve">    - Result: THE LINE RUNS SHORT BY 3,375 CANS, and you cannot fulfill the customer order!</t>
  </si>
  <si>
    <t>• The Correct Manufacturing Law (Yield-Inverse Model): Scrap happens on TOTAL INPUT, not saleable output.</t>
  </si>
  <si>
    <t xml:space="preserve">    - Formula: Gross Input = Required Output / (1 - Scrap %)</t>
  </si>
  <si>
    <t xml:space="preserve">    - Calculation: 150,000 / (1 - 0.15) = 150,000 / 0.85 = 176,471 slugs (4,167.88 kg).</t>
  </si>
  <si>
    <t xml:space="preserve">    - Floor Verification: 176,471 slugs × 0.85 surviving = EXACTLY 150,000 finished saleable cans.</t>
  </si>
  <si>
    <t>• Live Scrap Adjustment on MRP Sheet:</t>
  </si>
  <si>
    <t xml:space="preserve">    - Column E on the [MRP] sheet is an editable input cell pre-set with plant defaults.</t>
  </si>
  <si>
    <t xml:space="preserve">    - Column L highlights that alternative items (Glossy/Matt, Gold/Beige, White/Clear, 5.5mm/6.5mm) require only 1 option.</t>
  </si>
  <si>
    <t>4. OFFICIAL TECHNICAL DATA SHEET (TDS) EVIDENCE DIRECTORY</t>
  </si>
  <si>
    <t>Every specification in this BOM is verified directly against the supplier Technical Data Sheets in d:\Aerosol\TDS.pdf:</t>
  </si>
  <si>
    <t>• TDS.pdf, Page 1: SCHEKOSOL WH BC 422 0 903 — External White Base Coat (Wet film 43 g/m², 71% solids, 1.44 g/cm³ density).</t>
  </si>
  <si>
    <t>• TDS.pdf, Page 2: SCHEKOSOL INT PROT Gold 400 9 901 — Internal Protective Gold Lacquer (Wet film 44 g/m², 36% solids, 10-12 µm dry).</t>
  </si>
  <si>
    <t>• TDS.pdf, Page 3: SCHEKOSOL INT BEIGE 400 4 902 — Internal Protective Beige Lacquer (Wet film 48 g/m², 38% solids).</t>
  </si>
  <si>
    <t>• TDS.pdf, Page 5: SunAltec MB PLUS — Low-migration dry offset UV paste inks for aluminum monobloc aerosol cans.</t>
  </si>
  <si>
    <t>• TDS.pdf, Page 8: SAPILUB LUBRIMET GR8 — Powder lubricant for cold impact extrusion of aluminum slugs (Dosage: 105g / 100kg slugs).</t>
  </si>
  <si>
    <t>• TDS.pdf, Page 22: SAPILUB ALULIQUID 13 — Liquid alkaline cleaner for spray washers without etching.</t>
  </si>
  <si>
    <t>• TDS.pdf, Page 35: SCHEKOSOL CLEAR BC 422 9 918 — External Clear Base Coat for brushed finish cans.</t>
  </si>
  <si>
    <t>• TDS.pdf, Page 36: SCHEKOSOL OPV SILKMATT 422 9 903 — Silk-matt protective overprint varnish.</t>
  </si>
  <si>
    <t>• TDS.pdf, Page 37: SCHEKOSOL OPV GLOSSY 422 9 900 — Wet-on-wet glossy protective overprint varnish (Wet film 19 g/m², 43% solids).</t>
  </si>
  <si>
    <t>• Aerosol BOM.xlsx &amp; Aerosol Raw Materials.xlsx: Official plant master lists, ERP item numbers, and chemical shelf lives.</t>
  </si>
  <si>
    <t>OCTOBER AEROSOL MATERIAL REQUIREMENT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</si>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</sst>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00"/>
    <numFmt numFmtId="166" formatCode="yyyy\-mm\-dd"/>
    <numFmt numFmtId="167" formatCode="#,##0.00;[Red]\-#,##0.00;0.00"/>
    <numFmt numFmtId="168" formatCode="#,##0.0"/>
  </numFmts>
  <fonts count="12" x14ac:knownFonts="1">
    <font>
      <sz val="11"/>
      <color theme="1"/>
      <name val="Calibri"/>
      <family val="2"/>
      <scheme val="minor"/>
    </font>
    <font>
      <b/>
      <sz val="13"/>
      <color rgb="FF000000"/>
      <name val="Segoe UI"/>
    </font>
    <font>
      <b/>
      <sz val="9.5"/>
      <color rgb="FF000000"/>
      <name val="Segoe UI"/>
    </font>
    <font>
      <sz val="9.5"/>
      <color rgb="FF000000"/>
      <name val="Segoe UI"/>
    </font>
    <font>
      <b/>
      <sz val="9"/>
      <color rgb="FF000000"/>
      <name val="Segoe UI"/>
    </font>
    <font>
      <sz val="9"/>
      <color rgb="FF111827"/>
      <name val="Segoe UI"/>
    </font>
    <font>
      <b/>
      <sz val="13"/>
      <color rgb="FFFFFFFF"/>
      <name val="Segoe UI"/>
    </font>
    <font>
      <b/>
      <sz val="9.5"/>
      <color rgb="FFFFFFFF"/>
      <name val="Segoe UI"/>
    </font>
    <font>
      <b/>
      <sz val="9"/>
      <color rgb="FFFFFFFF"/>
      <name val="Segoe UI"/>
    </font>
    <font>
      <b/>
      <sz val="10.5"/>
      <color rgb="FFFFFFFF"/>
      <name val="Segoe UI"/>
    </font>
    <font>
      <b/>
      <sz val="10"/>
      <color rgb="FF1F2937"/>
      <name val="Segoe UI"/>
    </font>
    <font>
      <b/>
      <sz val="10.5"/>
      <color rgb="FF000000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E5E7EB"/>
        <bgColor rgb="FFE5E7EB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EF3C7"/>
        <bgColor rgb="FFFEF3C7"/>
      </patternFill>
    </fill>
    <fill>
      <patternFill patternType="solid">
        <fgColor rgb="FF1F3864"/>
        <bgColor rgb="FF1F3864"/>
      </patternFill>
    </fill>
    <fill>
      <patternFill patternType="solid">
        <fgColor rgb="FF2E4D8F"/>
        <bgColor rgb="FF2E4D8F"/>
      </patternFill>
    </fill>
    <fill>
      <patternFill patternType="solid">
        <fgColor rgb="FFF7F9FC"/>
        <bgColor rgb="FFF7F9FC"/>
      </patternFill>
    </fill>
    <fill>
      <patternFill patternType="solid">
        <fgColor rgb="FFF3F4F6"/>
        <bgColor rgb="FFF3F4F6"/>
      </patternFill>
    </fill>
    <fill>
      <patternFill patternType="solid">
        <fgColor theme="9" tint="0.79998168889431442"/>
        <bgColor rgb="FFF7F9FC"/>
      </patternFill>
    </fill>
    <fill>
      <patternFill patternType="solid">
        <fgColor theme="9" tint="0.79998168889431442"/>
        <bgColor rgb="FFFEF3C7"/>
      </patternFill>
    </fill>
    <fill>
      <patternFill patternType="solid">
        <fgColor theme="9" tint="0.79998168889431442"/>
        <bgColor rgb="FFFFFFFF"/>
      </patternFill>
    </fill>
  </fills>
  <borders count="6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4" fontId="3" fillId="3" borderId="2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4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4" fontId="5" fillId="4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horizontal="right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67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65" fontId="5" fillId="4" borderId="2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 indent="1"/>
    </xf>
    <xf numFmtId="0" fontId="0" fillId="6" borderId="0" xfId="0" applyFill="1"/>
    <xf numFmtId="166" fontId="7" fillId="6" borderId="0" xfId="0" applyNumberFormat="1" applyFont="1" applyFill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2" xfId="0" applyBorder="1"/>
    <xf numFmtId="0" fontId="9" fillId="6" borderId="0" xfId="0" applyFont="1" applyFill="1" applyAlignment="1">
      <alignment horizontal="left" vertical="center" indent="1"/>
    </xf>
    <xf numFmtId="0" fontId="8" fillId="7" borderId="3" xfId="0" applyFont="1" applyFill="1" applyBorder="1"/>
    <xf numFmtId="0" fontId="0" fillId="0" borderId="4" xfId="0" applyBorder="1"/>
    <xf numFmtId="0" fontId="0" fillId="0" borderId="5" xfId="0" applyBorder="1"/>
    <xf numFmtId="0" fontId="8" fillId="7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6" fontId="2" fillId="2" borderId="1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/>
    <xf numFmtId="0" fontId="5" fillId="0" borderId="0" xfId="0" applyFont="1" applyAlignment="1">
      <alignment horizontal="left" vertical="center"/>
    </xf>
    <xf numFmtId="0" fontId="0" fillId="0" borderId="0" xfId="0"/>
    <xf numFmtId="0" fontId="11" fillId="2" borderId="1" xfId="0" applyFont="1" applyFill="1" applyBorder="1" applyAlignment="1">
      <alignment horizontal="left" vertical="center" indent="1"/>
    </xf>
    <xf numFmtId="0" fontId="5" fillId="0" borderId="2" xfId="0" applyFont="1" applyBorder="1"/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9" borderId="2" xfId="0" applyFont="1" applyFill="1" applyBorder="1" applyAlignment="1">
      <alignment horizontal="left" vertical="center" indent="1"/>
    </xf>
    <xf numFmtId="0" fontId="0" fillId="9" borderId="2" xfId="0" applyFill="1" applyBorder="1"/>
    <xf numFmtId="164" fontId="4" fillId="5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8" fillId="7" borderId="3" xfId="0" applyNumberFormat="1" applyFont="1" applyFill="1" applyBorder="1" applyAlignment="1">
      <alignment horizontal="center" vertical="center"/>
    </xf>
    <xf numFmtId="168" fontId="4" fillId="3" borderId="2" xfId="0" applyNumberFormat="1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168" fontId="4" fillId="8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164" fontId="4" fillId="11" borderId="2" xfId="0" applyNumberFormat="1" applyFont="1" applyFill="1" applyBorder="1" applyAlignment="1">
      <alignment horizontal="center" vertical="center"/>
    </xf>
    <xf numFmtId="168" fontId="4" fillId="10" borderId="2" xfId="0" applyNumberFormat="1" applyFont="1" applyFill="1" applyBorder="1" applyAlignment="1">
      <alignment horizontal="center" vertical="center"/>
    </xf>
    <xf numFmtId="168" fontId="4" fillId="11" borderId="2" xfId="0" applyNumberFormat="1" applyFont="1" applyFill="1" applyBorder="1" applyAlignment="1">
      <alignment horizontal="center" vertical="center"/>
    </xf>
    <xf numFmtId="3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168" fontId="4" fillId="12" borderId="2" xfId="0" applyNumberFormat="1" applyFont="1" applyFill="1" applyBorder="1" applyAlignment="1">
      <alignment horizontal="center" vertical="center"/>
    </xf>
    <xf numFmtId="3" fontId="4" fillId="12" borderId="2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sz val="9"/>
        <color rgb="FF9C0006"/>
        <name val="Segoe UI"/>
      </font>
    </dxf>
    <dxf>
      <font>
        <b/>
        <sz val="9"/>
        <color rgb="FF9C0006"/>
        <name val="Segoe U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20">
  <autoFilter ref="A2:J20" xr:uid="{00000000-0009-0000-0100-000002000000}"/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"/>
    <tableColumn id="7" xr3:uid="{00000000-0010-0000-0100-000007000000}" name="Issued"/>
    <tableColumn id="8" xr3:uid="{00000000-0010-0000-0100-000008000000}" name="Store Balance"/>
    <tableColumn id="9" xr3:uid="{00000000-0010-0000-0100-000009000000}" name="WIP"/>
    <tableColumn id="10" xr3:uid="{00000000-0010-0000-0100-00000A000000}" name="Total Sto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28">
  <autoFilter ref="A2:M28" xr:uid="{00000000-0009-0000-0100-000001000000}"/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tabSelected="1" workbookViewId="0">
      <selection activeCell="A14" sqref="A14"/>
    </sheetView>
  </sheetViews>
  <sheetFormatPr defaultRowHeight="15" x14ac:dyDescent="0.25"/>
  <cols>
    <col min="1" max="1" width="12" customWidth="1"/>
    <col min="2" max="2" width="16" customWidth="1"/>
    <col min="3" max="3" width="38" customWidth="1"/>
    <col min="4" max="4" width="8" customWidth="1"/>
    <col min="5" max="5" width="12.28515625" customWidth="1"/>
    <col min="6" max="6" width="14.140625" customWidth="1"/>
    <col min="7" max="7" width="14.7109375" customWidth="1"/>
    <col min="8" max="8" width="12.140625" customWidth="1"/>
    <col min="9" max="9" width="12.5703125" customWidth="1"/>
    <col min="10" max="10" width="14" customWidth="1"/>
    <col min="11" max="11" width="24" customWidth="1"/>
    <col min="12" max="12" width="44" customWidth="1"/>
  </cols>
  <sheetData>
    <row r="1" spans="1:12" ht="30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24" t="s">
        <v>1</v>
      </c>
      <c r="J1" s="48">
        <f ca="1">TODAY()</f>
        <v>46303</v>
      </c>
      <c r="K1" s="47"/>
      <c r="L1" s="47"/>
    </row>
    <row r="2" spans="1:12" ht="21" customHeight="1" x14ac:dyDescent="0.25">
      <c r="A2" s="25" t="s">
        <v>2</v>
      </c>
      <c r="B2" s="25" t="s">
        <v>3</v>
      </c>
      <c r="C2" s="25" t="s">
        <v>4</v>
      </c>
      <c r="D2" s="25" t="s">
        <v>5</v>
      </c>
      <c r="E2" s="25" t="s">
        <v>6</v>
      </c>
      <c r="F2" s="25" t="s">
        <v>7</v>
      </c>
      <c r="G2" s="25" t="s">
        <v>8</v>
      </c>
      <c r="H2" s="25" t="s">
        <v>9</v>
      </c>
      <c r="I2" s="55" t="s">
        <v>10</v>
      </c>
      <c r="J2" s="52"/>
      <c r="K2" s="52"/>
      <c r="L2" s="52"/>
    </row>
    <row r="3" spans="1:12" ht="24" customHeight="1" x14ac:dyDescent="0.25">
      <c r="A3" s="27">
        <v>45</v>
      </c>
      <c r="B3" s="28" t="s">
        <v>11</v>
      </c>
      <c r="C3" s="28" t="s">
        <v>12</v>
      </c>
      <c r="D3" s="27">
        <v>9001</v>
      </c>
      <c r="E3" s="29" t="s">
        <v>257</v>
      </c>
      <c r="F3" s="74">
        <v>150000</v>
      </c>
      <c r="G3" s="74">
        <v>0</v>
      </c>
      <c r="H3" s="74">
        <f>F3-G3</f>
        <v>150000</v>
      </c>
      <c r="I3" s="49" t="s">
        <v>13</v>
      </c>
      <c r="J3" s="50"/>
      <c r="K3" s="50"/>
      <c r="L3" s="50"/>
    </row>
    <row r="4" spans="1:12" ht="24" customHeight="1" x14ac:dyDescent="0.25">
      <c r="A4" s="26"/>
      <c r="B4" s="26"/>
      <c r="C4" s="26"/>
      <c r="D4" s="26"/>
      <c r="E4" s="31" t="s">
        <v>14</v>
      </c>
      <c r="F4" s="75">
        <f>SUM(F3:F3)</f>
        <v>150000</v>
      </c>
      <c r="G4" s="75">
        <f>SUM(G3:G3)</f>
        <v>0</v>
      </c>
      <c r="H4" s="75">
        <f>SUMIF(H3:H3, "&gt;0")</f>
        <v>150000</v>
      </c>
      <c r="I4" s="52"/>
      <c r="J4" s="53"/>
      <c r="K4" s="53"/>
      <c r="L4" s="54"/>
    </row>
    <row r="5" spans="1:12" ht="24" customHeight="1" x14ac:dyDescent="0.25">
      <c r="A5" s="51" t="s">
        <v>256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ht="36" customHeight="1" x14ac:dyDescent="0.25">
      <c r="A6" s="25" t="s">
        <v>15</v>
      </c>
      <c r="B6" s="25" t="s">
        <v>16</v>
      </c>
      <c r="C6" s="25" t="s">
        <v>17</v>
      </c>
      <c r="D6" s="25" t="s">
        <v>18</v>
      </c>
      <c r="E6" s="25" t="s">
        <v>19</v>
      </c>
      <c r="F6" s="25" t="s">
        <v>20</v>
      </c>
      <c r="G6" s="25" t="s">
        <v>21</v>
      </c>
      <c r="H6" s="25" t="s">
        <v>22</v>
      </c>
      <c r="I6" s="25" t="s">
        <v>23</v>
      </c>
      <c r="J6" s="25" t="s">
        <v>24</v>
      </c>
      <c r="K6" s="25" t="s">
        <v>25</v>
      </c>
      <c r="L6" s="25" t="s">
        <v>26</v>
      </c>
    </row>
    <row r="7" spans="1:12" ht="20.100000000000001" customHeight="1" x14ac:dyDescent="0.25">
      <c r="A7" s="32" t="s">
        <v>27</v>
      </c>
      <c r="B7" s="33" t="s">
        <v>28</v>
      </c>
      <c r="C7" s="33" t="s">
        <v>29</v>
      </c>
      <c r="D7" s="32" t="s">
        <v>30</v>
      </c>
      <c r="E7" s="71">
        <v>0.15</v>
      </c>
      <c r="F7" s="76">
        <f>IF(E7&gt;=1, 0, ROUND(SUMPRODUCT((TableBOM[Item ID]=A7)*TableBOM[Per 1000 Units]*((SUMIF($D$3:$D$3,TableBOM[Product ID],$H$3:$H$3))&gt;0)*(SUMIF($D$3:$D$3,TableBOM[Product ID],$H$3:$H$3))/1000) / (1 - E7), 2))</f>
        <v>4167.88</v>
      </c>
      <c r="G7" s="77">
        <f>IFERROR(INDEX(TableInventory[Store Balance],MATCH(A7,TableInventory[Item ID],0)),0)+IFERROR(INDEX(TableInventory[WIP],MATCH(A7,TableInventory[Item ID],0)),0)</f>
        <v>150</v>
      </c>
      <c r="H7" s="76">
        <f t="shared" ref="H7:H22" si="0">G7-F7</f>
        <v>-4017.88</v>
      </c>
      <c r="I7" s="72">
        <f t="shared" ref="I7:I22" si="1">IFERROR(IF(F7=0, "-", ROUND(G7*1000/(F7/($H$4/1000)), 0)), "-")</f>
        <v>5398</v>
      </c>
      <c r="J7" s="35" t="str">
        <f t="shared" ref="J7:J22" si="2">IF(F7=0,"Not needed",IF(H7&lt;0,"SHORTAGE",IF(H7&lt;F7*0.1,"LOW","OK")))</f>
        <v>SHORTAGE</v>
      </c>
      <c r="K7" s="14" t="str">
        <f>IF(LEN(IF((COUNTIFS(TableBOM[Product ID],$D$3,TableBOM[Item ID],$A7)&gt;0)*($H$3&gt;0),$C$3&amp;", ",""))&gt;1,LEFT(IF((COUNTIFS(TableBOM[Product ID],$D$3,TableBOM[Item ID],$A7)&gt;0)*($H$3&gt;0),$C$3&amp;", ",""),LEN(IF((COUNTIFS(TableBOM[Product ID],$D$3,TableBOM[Item ID],$A7)&gt;0)*($H$3&gt;0),$C$3&amp;", ",""))-2),"")</f>
        <v>Aerosol Can 45x140mm</v>
      </c>
      <c r="L7" s="14" t="s">
        <v>31</v>
      </c>
    </row>
    <row r="8" spans="1:12" ht="20.100000000000001" customHeight="1" x14ac:dyDescent="0.25">
      <c r="A8" s="36" t="s">
        <v>32</v>
      </c>
      <c r="B8" s="37" t="s">
        <v>28</v>
      </c>
      <c r="C8" s="37" t="s">
        <v>33</v>
      </c>
      <c r="D8" s="36" t="s">
        <v>30</v>
      </c>
      <c r="E8" s="71">
        <v>0.15</v>
      </c>
      <c r="F8" s="78">
        <f>IF(E8&gt;=1, 0, ROUND(SUMPRODUCT((TableBOM[Item ID]=A8)*TableBOM[Per 1000 Units]*((SUMIF($D$3:$D$3,TableBOM[Product ID],$H$3:$H$3))&gt;0)*(SUMIF($D$3:$D$3,TableBOM[Product ID],$H$3:$H$3))/1000) / (1 - E8), 2))</f>
        <v>4925.6499999999996</v>
      </c>
      <c r="G8" s="77">
        <f>IFERROR(INDEX(TableInventory[Store Balance],MATCH(A8,TableInventory[Item ID],0)),0)+IFERROR(INDEX(TableInventory[WIP],MATCH(A8,TableInventory[Item ID],0)),0)</f>
        <v>65</v>
      </c>
      <c r="H8" s="78">
        <f t="shared" si="0"/>
        <v>-4860.6499999999996</v>
      </c>
      <c r="I8" s="73">
        <f t="shared" si="1"/>
        <v>1979</v>
      </c>
      <c r="J8" s="38" t="str">
        <f t="shared" si="2"/>
        <v>SHORTAGE</v>
      </c>
      <c r="K8" s="39" t="str">
        <f>IF(LEN(IF((COUNTIFS(TableBOM[Product ID],$D$3,TableBOM[Item ID],$A8)&gt;0)*($H$3&gt;0),$C$3&amp;", ",""))&gt;1,LEFT(IF((COUNTIFS(TableBOM[Product ID],$D$3,TableBOM[Item ID],$A8)&gt;0)*($H$3&gt;0),$C$3&amp;", ",""),LEN(IF((COUNTIFS(TableBOM[Product ID],$D$3,TableBOM[Item ID],$A8)&gt;0)*($H$3&gt;0),$C$3&amp;", ",""))-2),"")</f>
        <v>Aerosol Can 45x140mm</v>
      </c>
      <c r="L8" s="39" t="s">
        <v>34</v>
      </c>
    </row>
    <row r="9" spans="1:12" ht="20.100000000000001" customHeight="1" x14ac:dyDescent="0.25">
      <c r="A9" s="32" t="s">
        <v>35</v>
      </c>
      <c r="B9" s="33" t="s">
        <v>36</v>
      </c>
      <c r="C9" s="33" t="s">
        <v>37</v>
      </c>
      <c r="D9" s="32" t="s">
        <v>30</v>
      </c>
      <c r="E9" s="71">
        <v>0.15</v>
      </c>
      <c r="F9" s="76">
        <f>IF(E9&gt;=1, 0, ROUND(SUMPRODUCT((TableBOM[Item ID]=A9)*TableBOM[Per 1000 Units]*((SUMIF($D$3:$D$3,TableBOM[Product ID],$H$3:$H$3))&gt;0)*(SUMIF($D$3:$D$3,TableBOM[Product ID],$H$3:$H$3))/1000) / (1 - E9), 2))</f>
        <v>4.38</v>
      </c>
      <c r="G9" s="77">
        <f>IFERROR(INDEX(TableInventory[Store Balance],MATCH(A9,TableInventory[Item ID],0)),0)+IFERROR(INDEX(TableInventory[WIP],MATCH(A9,TableInventory[Item ID],0)),0)</f>
        <v>2</v>
      </c>
      <c r="H9" s="76">
        <f t="shared" si="0"/>
        <v>-2.38</v>
      </c>
      <c r="I9" s="72">
        <f t="shared" si="1"/>
        <v>68493</v>
      </c>
      <c r="J9" s="35" t="str">
        <f t="shared" si="2"/>
        <v>SHORTAGE</v>
      </c>
      <c r="K9" s="14" t="str">
        <f>IF(LEN(IF((COUNTIFS(TableBOM[Product ID],$D$3,TableBOM[Item ID],$A9)&gt;0)*($H$3&gt;0),$C$3&amp;", ",""))&gt;1,LEFT(IF((COUNTIFS(TableBOM[Product ID],$D$3,TableBOM[Item ID],$A9)&gt;0)*($H$3&gt;0),$C$3&amp;", ",""),LEN(IF((COUNTIFS(TableBOM[Product ID],$D$3,TableBOM[Item ID],$A9)&gt;0)*($H$3&gt;0),$C$3&amp;", ",""))-2),"")</f>
        <v>Aerosol Can 45x140mm</v>
      </c>
      <c r="L9" s="14" t="s">
        <v>38</v>
      </c>
    </row>
    <row r="10" spans="1:12" ht="20.100000000000001" customHeight="1" x14ac:dyDescent="0.25">
      <c r="A10" s="79" t="s">
        <v>39</v>
      </c>
      <c r="B10" s="80" t="s">
        <v>40</v>
      </c>
      <c r="C10" s="80" t="s">
        <v>41</v>
      </c>
      <c r="D10" s="79" t="s">
        <v>30</v>
      </c>
      <c r="E10" s="81">
        <v>0.1</v>
      </c>
      <c r="F10" s="82">
        <f>IF(E10&gt;=1, 0, ROUND(SUMPRODUCT((TableBOM[Item ID]=A10)*TableBOM[Per 1000 Units]*((SUMIF($D$3:$D$3,TableBOM[Product ID],$H$3:$H$3))&gt;0)*(SUMIF($D$3:$D$3,TableBOM[Product ID],$H$3:$H$3))/1000) / (1 - E10), 2))</f>
        <v>153.83000000000001</v>
      </c>
      <c r="G10" s="83">
        <f>IFERROR(INDEX(TableInventory[Store Balance],MATCH(A10,TableInventory[Item ID],0)),0)+IFERROR(INDEX(TableInventory[WIP],MATCH(A10,TableInventory[Item ID],0)),0)</f>
        <v>30</v>
      </c>
      <c r="H10" s="82">
        <f t="shared" si="0"/>
        <v>-123.83000000000001</v>
      </c>
      <c r="I10" s="84">
        <f t="shared" si="1"/>
        <v>29253</v>
      </c>
      <c r="J10" s="85" t="str">
        <f t="shared" si="2"/>
        <v>SHORTAGE</v>
      </c>
      <c r="K10" s="86" t="str">
        <f>IF(LEN(IF((COUNTIFS(TableBOM[Product ID],$D$3,TableBOM[Item ID],$A10)&gt;0)*($H$3&gt;0),$C$3&amp;", ",""))&gt;1,LEFT(IF((COUNTIFS(TableBOM[Product ID],$D$3,TableBOM[Item ID],$A10)&gt;0)*($H$3&gt;0),$C$3&amp;", ",""),LEN(IF((COUNTIFS(TableBOM[Product ID],$D$3,TableBOM[Item ID],$A10)&gt;0)*($H$3&gt;0),$C$3&amp;", ",""))-2),"")</f>
        <v>Aerosol Can 45x140mm</v>
      </c>
      <c r="L10" s="86" t="s">
        <v>42</v>
      </c>
    </row>
    <row r="11" spans="1:12" ht="20.100000000000001" customHeight="1" x14ac:dyDescent="0.25">
      <c r="A11" s="87" t="s">
        <v>43</v>
      </c>
      <c r="B11" s="88" t="s">
        <v>40</v>
      </c>
      <c r="C11" s="88" t="s">
        <v>44</v>
      </c>
      <c r="D11" s="87" t="s">
        <v>30</v>
      </c>
      <c r="E11" s="81">
        <v>0.1</v>
      </c>
      <c r="F11" s="89">
        <f>IF(E11&gt;=1, 0, ROUND(SUMPRODUCT((TableBOM[Item ID]=A11)*TableBOM[Per 1000 Units]*((SUMIF($D$3:$D$3,TableBOM[Product ID],$H$3:$H$3))&gt;0)*(SUMIF($D$3:$D$3,TableBOM[Product ID],$H$3:$H$3))/1000) / (1 - E11), 2))</f>
        <v>167.83</v>
      </c>
      <c r="G11" s="83">
        <f>IFERROR(INDEX(TableInventory[Store Balance],MATCH(A11,TableInventory[Item ID],0)),0)+IFERROR(INDEX(TableInventory[WIP],MATCH(A11,TableInventory[Item ID],0)),0)</f>
        <v>0</v>
      </c>
      <c r="H11" s="89">
        <f t="shared" si="0"/>
        <v>-167.83</v>
      </c>
      <c r="I11" s="90">
        <f t="shared" si="1"/>
        <v>0</v>
      </c>
      <c r="J11" s="91" t="str">
        <f t="shared" si="2"/>
        <v>SHORTAGE</v>
      </c>
      <c r="K11" s="92" t="str">
        <f>IF(LEN(IF((COUNTIFS(TableBOM[Product ID],$D$3,TableBOM[Item ID],$A11)&gt;0)*($H$3&gt;0),$C$3&amp;", ",""))&gt;1,LEFT(IF((COUNTIFS(TableBOM[Product ID],$D$3,TableBOM[Item ID],$A11)&gt;0)*($H$3&gt;0),$C$3&amp;", ",""),LEN(IF((COUNTIFS(TableBOM[Product ID],$D$3,TableBOM[Item ID],$A11)&gt;0)*($H$3&gt;0),$C$3&amp;", ",""))-2),"")</f>
        <v>Aerosol Can 45x140mm</v>
      </c>
      <c r="L11" s="92" t="s">
        <v>45</v>
      </c>
    </row>
    <row r="12" spans="1:12" ht="20.100000000000001" customHeight="1" x14ac:dyDescent="0.25">
      <c r="A12" s="36" t="s">
        <v>46</v>
      </c>
      <c r="B12" s="37" t="s">
        <v>47</v>
      </c>
      <c r="C12" s="37" t="s">
        <v>48</v>
      </c>
      <c r="D12" s="36" t="s">
        <v>30</v>
      </c>
      <c r="E12" s="71">
        <v>0.2</v>
      </c>
      <c r="F12" s="78">
        <f>IF(E12&gt;=1, 0, ROUND(SUMPRODUCT((TableBOM[Item ID]=A12)*TableBOM[Per 1000 Units]*((SUMIF($D$3:$D$3,TableBOM[Product ID],$H$3:$H$3))&gt;0)*(SUMIF($D$3:$D$3,TableBOM[Product ID],$H$3:$H$3))/1000) / (1 - E12), 2))</f>
        <v>5.18</v>
      </c>
      <c r="G12" s="77">
        <f>IFERROR(INDEX(TableInventory[Store Balance],MATCH(A12,TableInventory[Item ID],0)),0)+IFERROR(INDEX(TableInventory[WIP],MATCH(A12,TableInventory[Item ID],0)),0)</f>
        <v>0</v>
      </c>
      <c r="H12" s="78">
        <f t="shared" si="0"/>
        <v>-5.18</v>
      </c>
      <c r="I12" s="73">
        <f t="shared" si="1"/>
        <v>0</v>
      </c>
      <c r="J12" s="38" t="str">
        <f t="shared" si="2"/>
        <v>SHORTAGE</v>
      </c>
      <c r="K12" s="39" t="str">
        <f>IF(LEN(IF((COUNTIFS(TableBOM[Product ID],$D$3,TableBOM[Item ID],$A12)&gt;0)*($H$3&gt;0),$C$3&amp;", ",""))&gt;1,LEFT(IF((COUNTIFS(TableBOM[Product ID],$D$3,TableBOM[Item ID],$A12)&gt;0)*($H$3&gt;0),$C$3&amp;", ",""),LEN(IF((COUNTIFS(TableBOM[Product ID],$D$3,TableBOM[Item ID],$A12)&gt;0)*($H$3&gt;0),$C$3&amp;", ",""))-2),"")</f>
        <v>Aerosol Can 45x140mm</v>
      </c>
      <c r="L12" s="39" t="s">
        <v>49</v>
      </c>
    </row>
    <row r="13" spans="1:12" ht="20.100000000000001" customHeight="1" x14ac:dyDescent="0.25">
      <c r="A13" s="87" t="s">
        <v>50</v>
      </c>
      <c r="B13" s="88" t="s">
        <v>51</v>
      </c>
      <c r="C13" s="88" t="s">
        <v>52</v>
      </c>
      <c r="D13" s="87" t="s">
        <v>30</v>
      </c>
      <c r="E13" s="81">
        <v>0.15</v>
      </c>
      <c r="F13" s="89">
        <f>IF(E13&gt;=1, 0, ROUND(SUMPRODUCT((TableBOM[Item ID]=A13)*TableBOM[Per 1000 Units]*((SUMIF($D$3:$D$3,TableBOM[Product ID],$H$3:$H$3))&gt;0)*(SUMIF($D$3:$D$3,TableBOM[Product ID],$H$3:$H$3))/1000) / (1 - E13), 2))</f>
        <v>150.18</v>
      </c>
      <c r="G13" s="83">
        <f>IFERROR(INDEX(TableInventory[Store Balance],MATCH(A13,TableInventory[Item ID],0)),0)+IFERROR(INDEX(TableInventory[WIP],MATCH(A13,TableInventory[Item ID],0)),0)</f>
        <v>15</v>
      </c>
      <c r="H13" s="89">
        <f t="shared" si="0"/>
        <v>-135.18</v>
      </c>
      <c r="I13" s="90">
        <f t="shared" si="1"/>
        <v>14982</v>
      </c>
      <c r="J13" s="91" t="str">
        <f t="shared" si="2"/>
        <v>SHORTAGE</v>
      </c>
      <c r="K13" s="92" t="str">
        <f>IF(LEN(IF((COUNTIFS(TableBOM[Product ID],$D$3,TableBOM[Item ID],$A13)&gt;0)*($H$3&gt;0),$C$3&amp;", ",""))&gt;1,LEFT(IF((COUNTIFS(TableBOM[Product ID],$D$3,TableBOM[Item ID],$A13)&gt;0)*($H$3&gt;0),$C$3&amp;", ",""),LEN(IF((COUNTIFS(TableBOM[Product ID],$D$3,TableBOM[Item ID],$A13)&gt;0)*($H$3&gt;0),$C$3&amp;", ",""))-2),"")</f>
        <v>Aerosol Can 45x140mm</v>
      </c>
      <c r="L13" s="92" t="s">
        <v>53</v>
      </c>
    </row>
    <row r="14" spans="1:12" ht="20.100000000000001" customHeight="1" x14ac:dyDescent="0.25">
      <c r="A14" s="79" t="s">
        <v>54</v>
      </c>
      <c r="B14" s="80" t="s">
        <v>51</v>
      </c>
      <c r="C14" s="80" t="s">
        <v>55</v>
      </c>
      <c r="D14" s="79" t="s">
        <v>30</v>
      </c>
      <c r="E14" s="81">
        <v>0.15</v>
      </c>
      <c r="F14" s="82">
        <f>IF(E14&gt;=1, 0, ROUND(SUMPRODUCT((TableBOM[Item ID]=A14)*TableBOM[Per 1000 Units]*((SUMIF($D$3:$D$3,TableBOM[Product ID],$H$3:$H$3))&gt;0)*(SUMIF($D$3:$D$3,TableBOM[Product ID],$H$3:$H$3))/1000) / (1 - E14), 2))</f>
        <v>108.35</v>
      </c>
      <c r="G14" s="83">
        <f>IFERROR(INDEX(TableInventory[Store Balance],MATCH(A14,TableInventory[Item ID],0)),0)+IFERROR(INDEX(TableInventory[WIP],MATCH(A14,TableInventory[Item ID],0)),0)</f>
        <v>0</v>
      </c>
      <c r="H14" s="82">
        <f t="shared" si="0"/>
        <v>-108.35</v>
      </c>
      <c r="I14" s="84">
        <f t="shared" si="1"/>
        <v>0</v>
      </c>
      <c r="J14" s="85" t="str">
        <f t="shared" si="2"/>
        <v>SHORTAGE</v>
      </c>
      <c r="K14" s="86" t="str">
        <f>IF(LEN(IF((COUNTIFS(TableBOM[Product ID],$D$3,TableBOM[Item ID],$A14)&gt;0)*($H$3&gt;0),$C$3&amp;", ",""))&gt;1,LEFT(IF((COUNTIFS(TableBOM[Product ID],$D$3,TableBOM[Item ID],$A14)&gt;0)*($H$3&gt;0),$C$3&amp;", ",""),LEN(IF((COUNTIFS(TableBOM[Product ID],$D$3,TableBOM[Item ID],$A14)&gt;0)*($H$3&gt;0),$C$3&amp;", ",""))-2),"")</f>
        <v>Aerosol Can 45x140mm</v>
      </c>
      <c r="L14" s="86" t="s">
        <v>56</v>
      </c>
    </row>
    <row r="15" spans="1:12" ht="20.100000000000001" customHeight="1" x14ac:dyDescent="0.25">
      <c r="A15" s="32" t="s">
        <v>57</v>
      </c>
      <c r="B15" s="33" t="s">
        <v>47</v>
      </c>
      <c r="C15" s="33" t="s">
        <v>58</v>
      </c>
      <c r="D15" s="32" t="s">
        <v>30</v>
      </c>
      <c r="E15" s="71">
        <v>0.2</v>
      </c>
      <c r="F15" s="76">
        <f>IF(E15&gt;=1, 0, ROUND(SUMPRODUCT((TableBOM[Item ID]=A15)*TableBOM[Per 1000 Units]*((SUMIF($D$3:$D$3,TableBOM[Product ID],$H$3:$H$3))&gt;0)*(SUMIF($D$3:$D$3,TableBOM[Product ID],$H$3:$H$3))/1000) / (1 - E15), 2))</f>
        <v>6.9</v>
      </c>
      <c r="G15" s="77">
        <f>IFERROR(INDEX(TableInventory[Store Balance],MATCH(A15,TableInventory[Item ID],0)),0)+IFERROR(INDEX(TableInventory[WIP],MATCH(A15,TableInventory[Item ID],0)),0)</f>
        <v>0</v>
      </c>
      <c r="H15" s="76">
        <f t="shared" si="0"/>
        <v>-6.9</v>
      </c>
      <c r="I15" s="72">
        <f t="shared" si="1"/>
        <v>0</v>
      </c>
      <c r="J15" s="35" t="str">
        <f t="shared" si="2"/>
        <v>SHORTAGE</v>
      </c>
      <c r="K15" s="14" t="str">
        <f>IF(LEN(IF((COUNTIFS(TableBOM[Product ID],$D$3,TableBOM[Item ID],$A15)&gt;0)*($H$3&gt;0),$C$3&amp;", ",""))&gt;1,LEFT(IF((COUNTIFS(TableBOM[Product ID],$D$3,TableBOM[Item ID],$A15)&gt;0)*($H$3&gt;0),$C$3&amp;", ",""),LEN(IF((COUNTIFS(TableBOM[Product ID],$D$3,TableBOM[Item ID],$A15)&gt;0)*($H$3&gt;0),$C$3&amp;", ",""))-2),"")</f>
        <v>Aerosol Can 45x140mm</v>
      </c>
      <c r="L15" s="14" t="s">
        <v>59</v>
      </c>
    </row>
    <row r="16" spans="1:12" ht="20.100000000000001" customHeight="1" x14ac:dyDescent="0.25">
      <c r="A16" s="79" t="s">
        <v>60</v>
      </c>
      <c r="B16" s="80" t="s">
        <v>61</v>
      </c>
      <c r="C16" s="80" t="s">
        <v>62</v>
      </c>
      <c r="D16" s="79" t="s">
        <v>30</v>
      </c>
      <c r="E16" s="81">
        <v>0.15</v>
      </c>
      <c r="F16" s="82">
        <f>IF(E16&gt;=1, 0, ROUND(SUMPRODUCT((TableBOM[Item ID]=A16)*TableBOM[Per 1000 Units]*((SUMIF($D$3:$D$3,TableBOM[Product ID],$H$3:$H$3))&gt;0)*(SUMIF($D$3:$D$3,TableBOM[Product ID],$H$3:$H$3))/1000) / (1 - E16), 2))</f>
        <v>66.349999999999994</v>
      </c>
      <c r="G16" s="83">
        <f>IFERROR(INDEX(TableInventory[Store Balance],MATCH(A16,TableInventory[Item ID],0)),0)+IFERROR(INDEX(TableInventory[WIP],MATCH(A16,TableInventory[Item ID],0)),0)</f>
        <v>2</v>
      </c>
      <c r="H16" s="82">
        <f t="shared" si="0"/>
        <v>-64.349999999999994</v>
      </c>
      <c r="I16" s="84">
        <f t="shared" si="1"/>
        <v>4521</v>
      </c>
      <c r="J16" s="85" t="str">
        <f t="shared" si="2"/>
        <v>SHORTAGE</v>
      </c>
      <c r="K16" s="86" t="str">
        <f>IF(LEN(IF((COUNTIFS(TableBOM[Product ID],$D$3,TableBOM[Item ID],$A16)&gt;0)*($H$3&gt;0),$C$3&amp;", ",""))&gt;1,LEFT(IF((COUNTIFS(TableBOM[Product ID],$D$3,TableBOM[Item ID],$A16)&gt;0)*($H$3&gt;0),$C$3&amp;", ",""),LEN(IF((COUNTIFS(TableBOM[Product ID],$D$3,TableBOM[Item ID],$A16)&gt;0)*($H$3&gt;0),$C$3&amp;", ",""))-2),"")</f>
        <v>Aerosol Can 45x140mm</v>
      </c>
      <c r="L16" s="86" t="s">
        <v>63</v>
      </c>
    </row>
    <row r="17" spans="1:12" ht="20.100000000000001" customHeight="1" x14ac:dyDescent="0.25">
      <c r="A17" s="87" t="s">
        <v>64</v>
      </c>
      <c r="B17" s="88" t="s">
        <v>61</v>
      </c>
      <c r="C17" s="88" t="s">
        <v>65</v>
      </c>
      <c r="D17" s="87" t="s">
        <v>30</v>
      </c>
      <c r="E17" s="81">
        <v>0.15</v>
      </c>
      <c r="F17" s="89">
        <f>IF(E17&gt;=1, 0, ROUND(SUMPRODUCT((TableBOM[Item ID]=A17)*TableBOM[Per 1000 Units]*((SUMIF($D$3:$D$3,TableBOM[Product ID],$H$3:$H$3))&gt;0)*(SUMIF($D$3:$D$3,TableBOM[Product ID],$H$3:$H$3))/1000) / (1 - E17), 2))</f>
        <v>59.29</v>
      </c>
      <c r="G17" s="83">
        <f>IFERROR(INDEX(TableInventory[Store Balance],MATCH(A17,TableInventory[Item ID],0)),0)+IFERROR(INDEX(TableInventory[WIP],MATCH(A17,TableInventory[Item ID],0)),0)</f>
        <v>0</v>
      </c>
      <c r="H17" s="89">
        <f t="shared" si="0"/>
        <v>-59.29</v>
      </c>
      <c r="I17" s="90">
        <f t="shared" si="1"/>
        <v>0</v>
      </c>
      <c r="J17" s="91" t="str">
        <f t="shared" si="2"/>
        <v>SHORTAGE</v>
      </c>
      <c r="K17" s="92" t="str">
        <f>IF(LEN(IF((COUNTIFS(TableBOM[Product ID],$D$3,TableBOM[Item ID],$A17)&gt;0)*($H$3&gt;0),$C$3&amp;", ",""))&gt;1,LEFT(IF((COUNTIFS(TableBOM[Product ID],$D$3,TableBOM[Item ID],$A17)&gt;0)*($H$3&gt;0),$C$3&amp;", ",""),LEN(IF((COUNTIFS(TableBOM[Product ID],$D$3,TableBOM[Item ID],$A17)&gt;0)*($H$3&gt;0),$C$3&amp;", ",""))-2),"")</f>
        <v>Aerosol Can 45x140mm</v>
      </c>
      <c r="L17" s="92" t="s">
        <v>66</v>
      </c>
    </row>
    <row r="18" spans="1:12" ht="20.100000000000001" customHeight="1" x14ac:dyDescent="0.25">
      <c r="A18" s="36" t="s">
        <v>67</v>
      </c>
      <c r="B18" s="37" t="s">
        <v>68</v>
      </c>
      <c r="C18" s="37" t="s">
        <v>69</v>
      </c>
      <c r="D18" s="36" t="s">
        <v>30</v>
      </c>
      <c r="E18" s="71">
        <v>0.125</v>
      </c>
      <c r="F18" s="78">
        <f>IF(E18&gt;=1, 0, ROUND(SUMPRODUCT((TableBOM[Item ID]=A18)*TableBOM[Per 1000 Units]*((SUMIF($D$3:$D$3,TableBOM[Product ID],$H$3:$H$3))&gt;0)*(SUMIF($D$3:$D$3,TableBOM[Product ID],$H$3:$H$3))/1000) / (1 - E18), 2))</f>
        <v>42</v>
      </c>
      <c r="G18" s="77">
        <f>IFERROR(INDEX(TableInventory[Store Balance],MATCH(A18,TableInventory[Item ID],0)),0)+IFERROR(INDEX(TableInventory[WIP],MATCH(A18,TableInventory[Item ID],0)),0)</f>
        <v>2.2000000000000002</v>
      </c>
      <c r="H18" s="78">
        <f t="shared" si="0"/>
        <v>-39.799999999999997</v>
      </c>
      <c r="I18" s="73">
        <f t="shared" si="1"/>
        <v>7857</v>
      </c>
      <c r="J18" s="38" t="str">
        <f t="shared" si="2"/>
        <v>SHORTAGE</v>
      </c>
      <c r="K18" s="39" t="str">
        <f>IF(LEN(IF((COUNTIFS(TableBOM[Product ID],$D$3,TableBOM[Item ID],$A18)&gt;0)*($H$3&gt;0),$C$3&amp;", ",""))&gt;1,LEFT(IF((COUNTIFS(TableBOM[Product ID],$D$3,TableBOM[Item ID],$A18)&gt;0)*($H$3&gt;0),$C$3&amp;", ",""),LEN(IF((COUNTIFS(TableBOM[Product ID],$D$3,TableBOM[Item ID],$A18)&gt;0)*($H$3&gt;0),$C$3&amp;", ",""))-2),"")</f>
        <v>Aerosol Can 45x140mm</v>
      </c>
      <c r="L18" s="39" t="s">
        <v>70</v>
      </c>
    </row>
    <row r="19" spans="1:12" ht="20.100000000000001" customHeight="1" x14ac:dyDescent="0.25">
      <c r="A19" s="32" t="s">
        <v>71</v>
      </c>
      <c r="B19" s="33" t="s">
        <v>68</v>
      </c>
      <c r="C19" s="33" t="s">
        <v>72</v>
      </c>
      <c r="D19" s="32" t="s">
        <v>30</v>
      </c>
      <c r="E19" s="71">
        <v>0.125</v>
      </c>
      <c r="F19" s="76">
        <f>IF(E19&gt;=1, 0, ROUND(SUMPRODUCT((TableBOM[Item ID]=A19)*TableBOM[Per 1000 Units]*((SUMIF($D$3:$D$3,TableBOM[Product ID],$H$3:$H$3))&gt;0)*(SUMIF($D$3:$D$3,TableBOM[Product ID],$H$3:$H$3))/1000) / (1 - E19), 2))</f>
        <v>42</v>
      </c>
      <c r="G19" s="77">
        <f>IFERROR(INDEX(TableInventory[Store Balance],MATCH(A19,TableInventory[Item ID],0)),0)+IFERROR(INDEX(TableInventory[WIP],MATCH(A19,TableInventory[Item ID],0)),0)</f>
        <v>2</v>
      </c>
      <c r="H19" s="76">
        <f t="shared" si="0"/>
        <v>-40</v>
      </c>
      <c r="I19" s="72">
        <f t="shared" si="1"/>
        <v>7143</v>
      </c>
      <c r="J19" s="35" t="str">
        <f t="shared" si="2"/>
        <v>SHORTAGE</v>
      </c>
      <c r="K19" s="14" t="str">
        <f>IF(LEN(IF((COUNTIFS(TableBOM[Product ID],$D$3,TableBOM[Item ID],$A19)&gt;0)*($H$3&gt;0),$C$3&amp;", ",""))&gt;1,LEFT(IF((COUNTIFS(TableBOM[Product ID],$D$3,TableBOM[Item ID],$A19)&gt;0)*($H$3&gt;0),$C$3&amp;", ",""),LEN(IF((COUNTIFS(TableBOM[Product ID],$D$3,TableBOM[Item ID],$A19)&gt;0)*($H$3&gt;0),$C$3&amp;", ",""))-2),"")</f>
        <v>Aerosol Can 45x140mm</v>
      </c>
      <c r="L19" s="14" t="s">
        <v>73</v>
      </c>
    </row>
    <row r="20" spans="1:12" ht="20.100000000000001" customHeight="1" x14ac:dyDescent="0.25">
      <c r="A20" s="36" t="s">
        <v>74</v>
      </c>
      <c r="B20" s="37" t="s">
        <v>68</v>
      </c>
      <c r="C20" s="37" t="s">
        <v>75</v>
      </c>
      <c r="D20" s="36" t="s">
        <v>30</v>
      </c>
      <c r="E20" s="71">
        <v>0.125</v>
      </c>
      <c r="F20" s="78">
        <f>IF(E20&gt;=1, 0, ROUND(SUMPRODUCT((TableBOM[Item ID]=A20)*TableBOM[Per 1000 Units]*((SUMIF($D$3:$D$3,TableBOM[Product ID],$H$3:$H$3))&gt;0)*(SUMIF($D$3:$D$3,TableBOM[Product ID],$H$3:$H$3))/1000) / (1 - E20), 2))</f>
        <v>42</v>
      </c>
      <c r="G20" s="77">
        <f>IFERROR(INDEX(TableInventory[Store Balance],MATCH(A20,TableInventory[Item ID],0)),0)+IFERROR(INDEX(TableInventory[WIP],MATCH(A20,TableInventory[Item ID],0)),0)</f>
        <v>1.5</v>
      </c>
      <c r="H20" s="78">
        <f t="shared" si="0"/>
        <v>-40.5</v>
      </c>
      <c r="I20" s="73">
        <f t="shared" si="1"/>
        <v>5357</v>
      </c>
      <c r="J20" s="38" t="str">
        <f t="shared" si="2"/>
        <v>SHORTAGE</v>
      </c>
      <c r="K20" s="39" t="str">
        <f>IF(LEN(IF((COUNTIFS(TableBOM[Product ID],$D$3,TableBOM[Item ID],$A20)&gt;0)*($H$3&gt;0),$C$3&amp;", ",""))&gt;1,LEFT(IF((COUNTIFS(TableBOM[Product ID],$D$3,TableBOM[Item ID],$A20)&gt;0)*($H$3&gt;0),$C$3&amp;", ",""),LEN(IF((COUNTIFS(TableBOM[Product ID],$D$3,TableBOM[Item ID],$A20)&gt;0)*($H$3&gt;0),$C$3&amp;", ",""))-2),"")</f>
        <v>Aerosol Can 45x140mm</v>
      </c>
      <c r="L20" s="39" t="s">
        <v>76</v>
      </c>
    </row>
    <row r="21" spans="1:12" ht="20.100000000000001" customHeight="1" x14ac:dyDescent="0.25">
      <c r="A21" s="32" t="s">
        <v>77</v>
      </c>
      <c r="B21" s="33" t="s">
        <v>68</v>
      </c>
      <c r="C21" s="33" t="s">
        <v>78</v>
      </c>
      <c r="D21" s="32" t="s">
        <v>30</v>
      </c>
      <c r="E21" s="71">
        <v>0.125</v>
      </c>
      <c r="F21" s="76">
        <f>IF(E21&gt;=1, 0, ROUND(SUMPRODUCT((TableBOM[Item ID]=A21)*TableBOM[Per 1000 Units]*((SUMIF($D$3:$D$3,TableBOM[Product ID],$H$3:$H$3))&gt;0)*(SUMIF($D$3:$D$3,TableBOM[Product ID],$H$3:$H$3))/1000) / (1 - E21), 2))</f>
        <v>42</v>
      </c>
      <c r="G21" s="77">
        <f>IFERROR(INDEX(TableInventory[Store Balance],MATCH(A21,TableInventory[Item ID],0)),0)+IFERROR(INDEX(TableInventory[WIP],MATCH(A21,TableInventory[Item ID],0)),0)</f>
        <v>0</v>
      </c>
      <c r="H21" s="76">
        <f t="shared" si="0"/>
        <v>-42</v>
      </c>
      <c r="I21" s="72">
        <f t="shared" si="1"/>
        <v>0</v>
      </c>
      <c r="J21" s="35" t="str">
        <f t="shared" si="2"/>
        <v>SHORTAGE</v>
      </c>
      <c r="K21" s="14" t="str">
        <f>IF(LEN(IF((COUNTIFS(TableBOM[Product ID],$D$3,TableBOM[Item ID],$A21)&gt;0)*($H$3&gt;0),$C$3&amp;", ",""))&gt;1,LEFT(IF((COUNTIFS(TableBOM[Product ID],$D$3,TableBOM[Item ID],$A21)&gt;0)*($H$3&gt;0),$C$3&amp;", ",""),LEN(IF((COUNTIFS(TableBOM[Product ID],$D$3,TableBOM[Item ID],$A21)&gt;0)*($H$3&gt;0),$C$3&amp;", ",""))-2),"")</f>
        <v>Aerosol Can 45x140mm</v>
      </c>
      <c r="L21" s="14" t="s">
        <v>79</v>
      </c>
    </row>
    <row r="22" spans="1:12" ht="20.100000000000001" customHeight="1" x14ac:dyDescent="0.25">
      <c r="A22" s="36" t="s">
        <v>80</v>
      </c>
      <c r="B22" s="37" t="s">
        <v>81</v>
      </c>
      <c r="C22" s="37" t="s">
        <v>82</v>
      </c>
      <c r="D22" s="36" t="s">
        <v>30</v>
      </c>
      <c r="E22" s="71">
        <v>0.15</v>
      </c>
      <c r="F22" s="78">
        <f>IF(E22&gt;=1, 0, ROUND(SUMPRODUCT((TableBOM[Item ID]=A22)*TableBOM[Per 1000 Units]*((SUMIF($D$3:$D$3,TableBOM[Product ID],$H$3:$H$3))&gt;0)*(SUMIF($D$3:$D$3,TableBOM[Product ID],$H$3:$H$3))/1000) / (1 - E22), 2))</f>
        <v>882.35</v>
      </c>
      <c r="G22" s="77">
        <f>IFERROR(INDEX(TableInventory[Store Balance],MATCH(A22,TableInventory[Item ID],0)),0)+IFERROR(INDEX(TableInventory[WIP],MATCH(A22,TableInventory[Item ID],0)),0)</f>
        <v>50</v>
      </c>
      <c r="H22" s="78">
        <f t="shared" si="0"/>
        <v>-832.35</v>
      </c>
      <c r="I22" s="73">
        <f t="shared" si="1"/>
        <v>8500</v>
      </c>
      <c r="J22" s="38" t="str">
        <f t="shared" si="2"/>
        <v>SHORTAGE</v>
      </c>
      <c r="K22" s="39" t="str">
        <f>IF(LEN(IF((COUNTIFS(TableBOM[Product ID],$D$3,TableBOM[Item ID],$A22)&gt;0)*($H$3&gt;0),$C$3&amp;", ",""))&gt;1,LEFT(IF((COUNTIFS(TableBOM[Product ID],$D$3,TableBOM[Item ID],$A22)&gt;0)*($H$3&gt;0),$C$3&amp;", ",""),LEN(IF((COUNTIFS(TableBOM[Product ID],$D$3,TableBOM[Item ID],$A22)&gt;0)*($H$3&gt;0),$C$3&amp;", ",""))-2),"")</f>
        <v>Aerosol Can 45x140mm</v>
      </c>
      <c r="L22" s="39" t="s">
        <v>83</v>
      </c>
    </row>
  </sheetData>
  <mergeCells count="6">
    <mergeCell ref="A5:L5"/>
    <mergeCell ref="I4:L4"/>
    <mergeCell ref="I2:L2"/>
    <mergeCell ref="A1:H1"/>
    <mergeCell ref="J1:L1"/>
    <mergeCell ref="I3:L3"/>
  </mergeCells>
  <conditionalFormatting sqref="H7:H22">
    <cfRule type="cellIs" dxfId="1" priority="1" stopIfTrue="1" operator="lessThan">
      <formula>0</formula>
    </cfRule>
  </conditionalFormatting>
  <conditionalFormatting sqref="J7:J22">
    <cfRule type="cellIs" dxfId="0" priority="2" stopIfTrue="1" operator="equal">
      <formula>"SHORTAGE"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workbookViewId="0">
      <pane ySplit="2" topLeftCell="A3" activePane="bottomLeft" state="frozen"/>
      <selection pane="bottomLeft" activeCell="E13" sqref="E13"/>
    </sheetView>
  </sheetViews>
  <sheetFormatPr defaultRowHeight="15" x14ac:dyDescent="0.25"/>
  <cols>
    <col min="1" max="1" width="12" customWidth="1"/>
    <col min="2" max="2" width="16" customWidth="1"/>
    <col min="3" max="3" width="38" customWidth="1"/>
    <col min="4" max="4" width="8" customWidth="1"/>
    <col min="5" max="7" width="12" customWidth="1"/>
    <col min="8" max="8" width="15" customWidth="1"/>
    <col min="9" max="9" width="12" customWidth="1"/>
    <col min="10" max="10" width="16" customWidth="1"/>
    <col min="11" max="11" width="22" customWidth="1"/>
  </cols>
  <sheetData>
    <row r="1" spans="1:11" ht="26.1" customHeight="1" x14ac:dyDescent="0.25">
      <c r="A1" s="56" t="s">
        <v>133</v>
      </c>
      <c r="B1" s="57"/>
      <c r="C1" s="57"/>
      <c r="D1" s="57"/>
      <c r="E1" s="57"/>
      <c r="F1" s="57"/>
      <c r="G1" s="57"/>
      <c r="H1" s="57"/>
      <c r="I1" s="12" t="s">
        <v>1</v>
      </c>
      <c r="J1" s="58">
        <f ca="1">TODAY()</f>
        <v>46303</v>
      </c>
      <c r="K1" s="57"/>
    </row>
    <row r="2" spans="1:11" ht="30" customHeight="1" x14ac:dyDescent="0.25">
      <c r="A2" s="1" t="s">
        <v>15</v>
      </c>
      <c r="B2" s="1" t="s">
        <v>16</v>
      </c>
      <c r="C2" s="1" t="s">
        <v>134</v>
      </c>
      <c r="D2" s="1" t="s">
        <v>18</v>
      </c>
      <c r="E2" s="1" t="s">
        <v>135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</row>
    <row r="3" spans="1:11" ht="20.100000000000001" customHeight="1" x14ac:dyDescent="0.25">
      <c r="A3" s="13" t="s">
        <v>27</v>
      </c>
      <c r="B3" s="14" t="s">
        <v>28</v>
      </c>
      <c r="C3" s="14" t="s">
        <v>29</v>
      </c>
      <c r="D3" s="13" t="s">
        <v>30</v>
      </c>
      <c r="E3" s="15">
        <v>150</v>
      </c>
      <c r="F3" s="15">
        <v>0</v>
      </c>
      <c r="G3" s="15">
        <v>0</v>
      </c>
      <c r="H3" s="16">
        <f t="shared" ref="H3:H20" si="0">E3+F3-G3</f>
        <v>150</v>
      </c>
      <c r="I3" s="15">
        <v>0</v>
      </c>
      <c r="J3" s="17">
        <f t="shared" ref="J3:J20" si="1">H3+I3</f>
        <v>150</v>
      </c>
      <c r="K3" s="18">
        <f>IFERROR(INDEX(MRP!$I$7:$I$25, MATCH(A3, MRP!$A$7:$A$25, 0)), "-")</f>
        <v>5398</v>
      </c>
    </row>
    <row r="4" spans="1:11" ht="20.100000000000001" customHeight="1" x14ac:dyDescent="0.25">
      <c r="A4" s="19" t="s">
        <v>32</v>
      </c>
      <c r="B4" s="20" t="s">
        <v>28</v>
      </c>
      <c r="C4" s="20" t="s">
        <v>33</v>
      </c>
      <c r="D4" s="19" t="s">
        <v>30</v>
      </c>
      <c r="E4" s="21">
        <v>65</v>
      </c>
      <c r="F4" s="21">
        <v>0</v>
      </c>
      <c r="G4" s="21">
        <v>0</v>
      </c>
      <c r="H4" s="22">
        <f t="shared" si="0"/>
        <v>65</v>
      </c>
      <c r="I4" s="21">
        <v>0</v>
      </c>
      <c r="J4" s="17">
        <f t="shared" si="1"/>
        <v>65</v>
      </c>
      <c r="K4" s="23">
        <f>IFERROR(INDEX(MRP!$I$7:$I$25, MATCH(A4, MRP!$A$7:$A$25, 0)), "-")</f>
        <v>1979</v>
      </c>
    </row>
    <row r="5" spans="1:11" ht="20.100000000000001" customHeight="1" x14ac:dyDescent="0.25">
      <c r="A5" s="13" t="s">
        <v>35</v>
      </c>
      <c r="B5" s="14" t="s">
        <v>36</v>
      </c>
      <c r="C5" s="14" t="s">
        <v>37</v>
      </c>
      <c r="D5" s="13" t="s">
        <v>30</v>
      </c>
      <c r="E5" s="15">
        <v>2</v>
      </c>
      <c r="F5" s="15">
        <v>0</v>
      </c>
      <c r="G5" s="15">
        <v>0</v>
      </c>
      <c r="H5" s="16">
        <f t="shared" si="0"/>
        <v>2</v>
      </c>
      <c r="I5" s="15">
        <v>0</v>
      </c>
      <c r="J5" s="17">
        <f t="shared" si="1"/>
        <v>2</v>
      </c>
      <c r="K5" s="18">
        <f>IFERROR(INDEX(MRP!$I$7:$I$25, MATCH(A5, MRP!$A$7:$A$25, 0)), "-")</f>
        <v>68493</v>
      </c>
    </row>
    <row r="6" spans="1:11" ht="20.100000000000001" customHeight="1" x14ac:dyDescent="0.25">
      <c r="A6" s="19" t="s">
        <v>39</v>
      </c>
      <c r="B6" s="20" t="s">
        <v>40</v>
      </c>
      <c r="C6" s="20" t="s">
        <v>41</v>
      </c>
      <c r="D6" s="19" t="s">
        <v>30</v>
      </c>
      <c r="E6" s="21">
        <v>30</v>
      </c>
      <c r="F6" s="21">
        <v>0</v>
      </c>
      <c r="G6" s="21">
        <v>0</v>
      </c>
      <c r="H6" s="22">
        <f t="shared" si="0"/>
        <v>30</v>
      </c>
      <c r="I6" s="21">
        <v>0</v>
      </c>
      <c r="J6" s="17">
        <f t="shared" si="1"/>
        <v>30</v>
      </c>
      <c r="K6" s="23">
        <f>IFERROR(INDEX(MRP!$I$7:$I$25, MATCH(A6, MRP!$A$7:$A$25, 0)), "-")</f>
        <v>29253</v>
      </c>
    </row>
    <row r="7" spans="1:11" ht="20.100000000000001" customHeight="1" x14ac:dyDescent="0.25">
      <c r="A7" s="13" t="s">
        <v>43</v>
      </c>
      <c r="B7" s="14" t="s">
        <v>40</v>
      </c>
      <c r="C7" s="14" t="s">
        <v>44</v>
      </c>
      <c r="D7" s="13" t="s">
        <v>30</v>
      </c>
      <c r="E7" s="15">
        <v>0</v>
      </c>
      <c r="F7" s="15">
        <v>0</v>
      </c>
      <c r="G7" s="15">
        <v>0</v>
      </c>
      <c r="H7" s="16">
        <f t="shared" si="0"/>
        <v>0</v>
      </c>
      <c r="I7" s="15">
        <v>0</v>
      </c>
      <c r="J7" s="17">
        <f t="shared" si="1"/>
        <v>0</v>
      </c>
      <c r="K7" s="18">
        <f>IFERROR(INDEX(MRP!$I$7:$I$25, MATCH(A7, MRP!$A$7:$A$25, 0)), "-")</f>
        <v>0</v>
      </c>
    </row>
    <row r="8" spans="1:11" ht="20.100000000000001" customHeight="1" x14ac:dyDescent="0.25">
      <c r="A8" s="19" t="s">
        <v>46</v>
      </c>
      <c r="B8" s="20" t="s">
        <v>47</v>
      </c>
      <c r="C8" s="20" t="s">
        <v>48</v>
      </c>
      <c r="D8" s="19" t="s">
        <v>30</v>
      </c>
      <c r="E8" s="21">
        <v>0</v>
      </c>
      <c r="F8" s="21">
        <v>0</v>
      </c>
      <c r="G8" s="21">
        <v>0</v>
      </c>
      <c r="H8" s="22">
        <f t="shared" si="0"/>
        <v>0</v>
      </c>
      <c r="I8" s="21">
        <v>0</v>
      </c>
      <c r="J8" s="17">
        <f t="shared" si="1"/>
        <v>0</v>
      </c>
      <c r="K8" s="23">
        <f>IFERROR(INDEX(MRP!$I$7:$I$25, MATCH(A8, MRP!$A$7:$A$25, 0)), "-")</f>
        <v>0</v>
      </c>
    </row>
    <row r="9" spans="1:11" ht="20.100000000000001" customHeight="1" x14ac:dyDescent="0.25">
      <c r="A9" s="13" t="s">
        <v>50</v>
      </c>
      <c r="B9" s="14" t="s">
        <v>51</v>
      </c>
      <c r="C9" s="14" t="s">
        <v>52</v>
      </c>
      <c r="D9" s="13" t="s">
        <v>30</v>
      </c>
      <c r="E9" s="15">
        <v>15</v>
      </c>
      <c r="F9" s="15">
        <v>0</v>
      </c>
      <c r="G9" s="15">
        <v>0</v>
      </c>
      <c r="H9" s="16">
        <f t="shared" si="0"/>
        <v>15</v>
      </c>
      <c r="I9" s="15">
        <v>0</v>
      </c>
      <c r="J9" s="17">
        <f t="shared" si="1"/>
        <v>15</v>
      </c>
      <c r="K9" s="18">
        <f>IFERROR(INDEX(MRP!$I$7:$I$25, MATCH(A9, MRP!$A$7:$A$25, 0)), "-")</f>
        <v>14982</v>
      </c>
    </row>
    <row r="10" spans="1:11" ht="20.100000000000001" customHeight="1" x14ac:dyDescent="0.25">
      <c r="A10" s="19" t="s">
        <v>54</v>
      </c>
      <c r="B10" s="20" t="s">
        <v>51</v>
      </c>
      <c r="C10" s="20" t="s">
        <v>55</v>
      </c>
      <c r="D10" s="19" t="s">
        <v>30</v>
      </c>
      <c r="E10" s="21">
        <v>0</v>
      </c>
      <c r="F10" s="21">
        <v>0</v>
      </c>
      <c r="G10" s="21">
        <v>0</v>
      </c>
      <c r="H10" s="22">
        <f t="shared" si="0"/>
        <v>0</v>
      </c>
      <c r="I10" s="21">
        <v>0</v>
      </c>
      <c r="J10" s="17">
        <f t="shared" si="1"/>
        <v>0</v>
      </c>
      <c r="K10" s="23">
        <f>IFERROR(INDEX(MRP!$I$7:$I$25, MATCH(A10, MRP!$A$7:$A$25, 0)), "-")</f>
        <v>0</v>
      </c>
    </row>
    <row r="11" spans="1:11" ht="20.100000000000001" customHeight="1" x14ac:dyDescent="0.25">
      <c r="A11" s="13" t="s">
        <v>57</v>
      </c>
      <c r="B11" s="14" t="s">
        <v>47</v>
      </c>
      <c r="C11" s="14" t="s">
        <v>58</v>
      </c>
      <c r="D11" s="13" t="s">
        <v>30</v>
      </c>
      <c r="E11" s="15">
        <v>0</v>
      </c>
      <c r="F11" s="15">
        <v>0</v>
      </c>
      <c r="G11" s="15">
        <v>0</v>
      </c>
      <c r="H11" s="16">
        <f t="shared" si="0"/>
        <v>0</v>
      </c>
      <c r="I11" s="15">
        <v>0</v>
      </c>
      <c r="J11" s="17">
        <f t="shared" si="1"/>
        <v>0</v>
      </c>
      <c r="K11" s="18">
        <f>IFERROR(INDEX(MRP!$I$7:$I$25, MATCH(A11, MRP!$A$7:$A$25, 0)), "-")</f>
        <v>0</v>
      </c>
    </row>
    <row r="12" spans="1:11" ht="20.100000000000001" customHeight="1" x14ac:dyDescent="0.25">
      <c r="A12" s="19" t="s">
        <v>60</v>
      </c>
      <c r="B12" s="20" t="s">
        <v>61</v>
      </c>
      <c r="C12" s="20" t="s">
        <v>62</v>
      </c>
      <c r="D12" s="19" t="s">
        <v>30</v>
      </c>
      <c r="E12" s="21">
        <v>2</v>
      </c>
      <c r="F12" s="21">
        <v>0</v>
      </c>
      <c r="G12" s="21">
        <v>0</v>
      </c>
      <c r="H12" s="22">
        <f t="shared" si="0"/>
        <v>2</v>
      </c>
      <c r="I12" s="21">
        <v>0</v>
      </c>
      <c r="J12" s="17">
        <f t="shared" si="1"/>
        <v>2</v>
      </c>
      <c r="K12" s="23">
        <f>IFERROR(INDEX(MRP!$I$7:$I$25, MATCH(A12, MRP!$A$7:$A$25, 0)), "-")</f>
        <v>4521</v>
      </c>
    </row>
    <row r="13" spans="1:11" ht="20.100000000000001" customHeight="1" x14ac:dyDescent="0.25">
      <c r="A13" s="13" t="s">
        <v>64</v>
      </c>
      <c r="B13" s="14" t="s">
        <v>61</v>
      </c>
      <c r="C13" s="14" t="s">
        <v>65</v>
      </c>
      <c r="D13" s="13" t="s">
        <v>30</v>
      </c>
      <c r="E13" s="15">
        <v>0</v>
      </c>
      <c r="F13" s="15">
        <v>0</v>
      </c>
      <c r="G13" s="15">
        <v>0</v>
      </c>
      <c r="H13" s="16">
        <f t="shared" si="0"/>
        <v>0</v>
      </c>
      <c r="I13" s="15">
        <v>0</v>
      </c>
      <c r="J13" s="17">
        <f t="shared" si="1"/>
        <v>0</v>
      </c>
      <c r="K13" s="18">
        <f>IFERROR(INDEX(MRP!$I$7:$I$25, MATCH(A13, MRP!$A$7:$A$25, 0)), "-")</f>
        <v>0</v>
      </c>
    </row>
    <row r="14" spans="1:11" ht="20.100000000000001" customHeight="1" x14ac:dyDescent="0.25">
      <c r="A14" s="19" t="s">
        <v>67</v>
      </c>
      <c r="B14" s="20" t="s">
        <v>68</v>
      </c>
      <c r="C14" s="20" t="s">
        <v>69</v>
      </c>
      <c r="D14" s="19" t="s">
        <v>30</v>
      </c>
      <c r="E14" s="21">
        <v>2.2000000000000002</v>
      </c>
      <c r="F14" s="21">
        <v>0</v>
      </c>
      <c r="G14" s="21">
        <v>0</v>
      </c>
      <c r="H14" s="22">
        <f t="shared" si="0"/>
        <v>2.2000000000000002</v>
      </c>
      <c r="I14" s="21">
        <v>0</v>
      </c>
      <c r="J14" s="17">
        <f t="shared" si="1"/>
        <v>2.2000000000000002</v>
      </c>
      <c r="K14" s="23">
        <f>IFERROR(INDEX(MRP!$I$7:$I$25, MATCH(A14, MRP!$A$7:$A$25, 0)), "-")</f>
        <v>7857</v>
      </c>
    </row>
    <row r="15" spans="1:11" ht="20.100000000000001" customHeight="1" x14ac:dyDescent="0.25">
      <c r="A15" s="13" t="s">
        <v>71</v>
      </c>
      <c r="B15" s="14" t="s">
        <v>68</v>
      </c>
      <c r="C15" s="14" t="s">
        <v>72</v>
      </c>
      <c r="D15" s="13" t="s">
        <v>30</v>
      </c>
      <c r="E15" s="15">
        <v>2</v>
      </c>
      <c r="F15" s="15">
        <v>0</v>
      </c>
      <c r="G15" s="15">
        <v>0</v>
      </c>
      <c r="H15" s="16">
        <f t="shared" si="0"/>
        <v>2</v>
      </c>
      <c r="I15" s="15">
        <v>0</v>
      </c>
      <c r="J15" s="17">
        <f t="shared" si="1"/>
        <v>2</v>
      </c>
      <c r="K15" s="18">
        <f>IFERROR(INDEX(MRP!$I$7:$I$25, MATCH(A15, MRP!$A$7:$A$25, 0)), "-")</f>
        <v>7143</v>
      </c>
    </row>
    <row r="16" spans="1:11" ht="20.100000000000001" customHeight="1" x14ac:dyDescent="0.25">
      <c r="A16" s="19" t="s">
        <v>74</v>
      </c>
      <c r="B16" s="20" t="s">
        <v>68</v>
      </c>
      <c r="C16" s="20" t="s">
        <v>75</v>
      </c>
      <c r="D16" s="19" t="s">
        <v>30</v>
      </c>
      <c r="E16" s="21">
        <v>1.5</v>
      </c>
      <c r="F16" s="21">
        <v>0</v>
      </c>
      <c r="G16" s="21">
        <v>0</v>
      </c>
      <c r="H16" s="22">
        <f t="shared" si="0"/>
        <v>1.5</v>
      </c>
      <c r="I16" s="21">
        <v>0</v>
      </c>
      <c r="J16" s="17">
        <f t="shared" si="1"/>
        <v>1.5</v>
      </c>
      <c r="K16" s="23">
        <f>IFERROR(INDEX(MRP!$I$7:$I$25, MATCH(A16, MRP!$A$7:$A$25, 0)), "-")</f>
        <v>5357</v>
      </c>
    </row>
    <row r="17" spans="1:11" ht="20.100000000000001" customHeight="1" x14ac:dyDescent="0.25">
      <c r="A17" s="13" t="s">
        <v>77</v>
      </c>
      <c r="B17" s="14" t="s">
        <v>68</v>
      </c>
      <c r="C17" s="14" t="s">
        <v>78</v>
      </c>
      <c r="D17" s="13" t="s">
        <v>30</v>
      </c>
      <c r="E17" s="15">
        <v>0</v>
      </c>
      <c r="F17" s="15">
        <v>0</v>
      </c>
      <c r="G17" s="15">
        <v>0</v>
      </c>
      <c r="H17" s="16">
        <f t="shared" si="0"/>
        <v>0</v>
      </c>
      <c r="I17" s="15">
        <v>0</v>
      </c>
      <c r="J17" s="17">
        <f t="shared" si="1"/>
        <v>0</v>
      </c>
      <c r="K17" s="18">
        <f>IFERROR(INDEX(MRP!$I$7:$I$25, MATCH(A17, MRP!$A$7:$A$25, 0)), "-")</f>
        <v>0</v>
      </c>
    </row>
    <row r="18" spans="1:11" ht="20.100000000000001" customHeight="1" x14ac:dyDescent="0.25">
      <c r="A18" s="19" t="s">
        <v>80</v>
      </c>
      <c r="B18" s="20" t="s">
        <v>81</v>
      </c>
      <c r="C18" s="20" t="s">
        <v>82</v>
      </c>
      <c r="D18" s="19" t="s">
        <v>30</v>
      </c>
      <c r="E18" s="21">
        <v>0</v>
      </c>
      <c r="F18" s="21">
        <v>0</v>
      </c>
      <c r="G18" s="21">
        <v>0</v>
      </c>
      <c r="H18" s="22">
        <f t="shared" si="0"/>
        <v>0</v>
      </c>
      <c r="I18" s="21">
        <v>50</v>
      </c>
      <c r="J18" s="17">
        <f t="shared" si="1"/>
        <v>50</v>
      </c>
      <c r="K18" s="23">
        <f>IFERROR(INDEX(MRP!$I$7:$I$25, MATCH(A18, MRP!$A$7:$A$25, 0)), "-")</f>
        <v>8500</v>
      </c>
    </row>
    <row r="19" spans="1:11" ht="20.100000000000001" customHeight="1" x14ac:dyDescent="0.25">
      <c r="A19" s="13" t="s">
        <v>84</v>
      </c>
      <c r="B19" s="14" t="s">
        <v>85</v>
      </c>
      <c r="C19" s="14" t="s">
        <v>86</v>
      </c>
      <c r="D19" s="13" t="s">
        <v>87</v>
      </c>
      <c r="E19" s="15">
        <v>50</v>
      </c>
      <c r="F19" s="15">
        <v>0</v>
      </c>
      <c r="G19" s="15">
        <v>0</v>
      </c>
      <c r="H19" s="16">
        <f t="shared" si="0"/>
        <v>50</v>
      </c>
      <c r="I19" s="15">
        <v>0</v>
      </c>
      <c r="J19" s="17">
        <f t="shared" si="1"/>
        <v>50</v>
      </c>
      <c r="K19" s="18" t="str">
        <f>IFERROR(INDEX(MRP!$I$7:$I$25, MATCH(A19, MRP!$A$7:$A$25, 0)), "-")</f>
        <v>-</v>
      </c>
    </row>
    <row r="20" spans="1:11" ht="20.100000000000001" customHeight="1" x14ac:dyDescent="0.25">
      <c r="A20" s="19" t="s">
        <v>88</v>
      </c>
      <c r="B20" s="20" t="s">
        <v>85</v>
      </c>
      <c r="C20" s="20" t="s">
        <v>89</v>
      </c>
      <c r="D20" s="19" t="s">
        <v>90</v>
      </c>
      <c r="E20" s="21">
        <v>10</v>
      </c>
      <c r="F20" s="21">
        <v>0</v>
      </c>
      <c r="G20" s="21">
        <v>0</v>
      </c>
      <c r="H20" s="22">
        <f t="shared" si="0"/>
        <v>10</v>
      </c>
      <c r="I20" s="21">
        <v>0</v>
      </c>
      <c r="J20" s="17">
        <f t="shared" si="1"/>
        <v>10</v>
      </c>
      <c r="K20" s="23" t="str">
        <f>IFERROR(INDEX(MRP!$I$7:$I$25, MATCH(A20, MRP!$A$7:$A$25, 0)), "-")</f>
        <v>-</v>
      </c>
    </row>
  </sheetData>
  <mergeCells count="2">
    <mergeCell ref="J1:K1"/>
    <mergeCell ref="A1:H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2" customWidth="1"/>
    <col min="4" max="4" width="38" customWidth="1"/>
    <col min="5" max="5" width="10" customWidth="1"/>
    <col min="6" max="6" width="18" customWidth="1"/>
    <col min="7" max="7" width="12" customWidth="1"/>
    <col min="8" max="8" width="40" customWidth="1"/>
    <col min="9" max="9" width="8" customWidth="1"/>
    <col min="10" max="10" width="16" customWidth="1"/>
    <col min="11" max="11" width="20" customWidth="1"/>
    <col min="12" max="12" width="12" customWidth="1"/>
    <col min="13" max="13" width="55" customWidth="1"/>
  </cols>
  <sheetData>
    <row r="1" spans="1:13" ht="27.95" customHeight="1" x14ac:dyDescent="0.25">
      <c r="A1" s="56" t="s">
        <v>91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26.1" customHeight="1" x14ac:dyDescent="0.25">
      <c r="A2" s="1" t="s">
        <v>5</v>
      </c>
      <c r="B2" s="1" t="s">
        <v>92</v>
      </c>
      <c r="C2" s="1" t="s">
        <v>3</v>
      </c>
      <c r="D2" s="1" t="s">
        <v>4</v>
      </c>
      <c r="E2" s="1" t="s">
        <v>2</v>
      </c>
      <c r="F2" s="1" t="s">
        <v>93</v>
      </c>
      <c r="G2" s="1" t="s">
        <v>15</v>
      </c>
      <c r="H2" s="1" t="s">
        <v>17</v>
      </c>
      <c r="I2" s="1" t="s">
        <v>18</v>
      </c>
      <c r="J2" s="1" t="s">
        <v>94</v>
      </c>
      <c r="K2" s="1" t="s">
        <v>95</v>
      </c>
      <c r="L2" s="1" t="s">
        <v>96</v>
      </c>
      <c r="M2" s="1" t="s">
        <v>97</v>
      </c>
    </row>
    <row r="3" spans="1:13" ht="20.100000000000001" customHeight="1" x14ac:dyDescent="0.25">
      <c r="A3" s="2">
        <v>9001</v>
      </c>
      <c r="B3" s="2">
        <v>101</v>
      </c>
      <c r="C3" s="3" t="s">
        <v>11</v>
      </c>
      <c r="D3" s="3" t="s">
        <v>12</v>
      </c>
      <c r="E3" s="2">
        <v>45</v>
      </c>
      <c r="F3" s="3" t="s">
        <v>28</v>
      </c>
      <c r="G3" s="2" t="s">
        <v>27</v>
      </c>
      <c r="H3" s="3" t="s">
        <v>29</v>
      </c>
      <c r="I3" s="2" t="s">
        <v>30</v>
      </c>
      <c r="J3" s="4">
        <v>23.617999999999999</v>
      </c>
      <c r="K3" s="3" t="s">
        <v>98</v>
      </c>
      <c r="L3" s="5">
        <v>0.15</v>
      </c>
      <c r="M3" s="3" t="s">
        <v>99</v>
      </c>
    </row>
    <row r="4" spans="1:13" ht="20.100000000000001" customHeight="1" x14ac:dyDescent="0.25">
      <c r="A4" s="6">
        <v>9001</v>
      </c>
      <c r="B4" s="6">
        <v>101</v>
      </c>
      <c r="C4" s="7" t="s">
        <v>11</v>
      </c>
      <c r="D4" s="7" t="s">
        <v>12</v>
      </c>
      <c r="E4" s="6">
        <v>45</v>
      </c>
      <c r="F4" s="7" t="s">
        <v>28</v>
      </c>
      <c r="G4" s="6" t="s">
        <v>32</v>
      </c>
      <c r="H4" s="7" t="s">
        <v>33</v>
      </c>
      <c r="I4" s="6" t="s">
        <v>30</v>
      </c>
      <c r="J4" s="8">
        <v>27.911999999999999</v>
      </c>
      <c r="K4" s="7" t="s">
        <v>98</v>
      </c>
      <c r="L4" s="9">
        <v>0.15</v>
      </c>
      <c r="M4" s="7" t="s">
        <v>100</v>
      </c>
    </row>
    <row r="5" spans="1:13" ht="20.100000000000001" customHeight="1" x14ac:dyDescent="0.25">
      <c r="A5" s="2">
        <v>9001</v>
      </c>
      <c r="B5" s="2">
        <v>101</v>
      </c>
      <c r="C5" s="3" t="s">
        <v>11</v>
      </c>
      <c r="D5" s="3" t="s">
        <v>12</v>
      </c>
      <c r="E5" s="2">
        <v>45</v>
      </c>
      <c r="F5" s="3" t="s">
        <v>36</v>
      </c>
      <c r="G5" s="2" t="s">
        <v>35</v>
      </c>
      <c r="H5" s="3" t="s">
        <v>37</v>
      </c>
      <c r="I5" s="2" t="s">
        <v>30</v>
      </c>
      <c r="J5" s="10">
        <v>2.4799999999999999E-2</v>
      </c>
      <c r="K5" s="3" t="s">
        <v>101</v>
      </c>
      <c r="L5" s="5">
        <v>0.15</v>
      </c>
      <c r="M5" s="3" t="s">
        <v>102</v>
      </c>
    </row>
    <row r="6" spans="1:13" ht="20.100000000000001" customHeight="1" x14ac:dyDescent="0.25">
      <c r="A6" s="6">
        <v>9001</v>
      </c>
      <c r="B6" s="6">
        <v>101</v>
      </c>
      <c r="C6" s="7" t="s">
        <v>11</v>
      </c>
      <c r="D6" s="7" t="s">
        <v>12</v>
      </c>
      <c r="E6" s="6">
        <v>45</v>
      </c>
      <c r="F6" s="7" t="s">
        <v>81</v>
      </c>
      <c r="G6" s="6" t="s">
        <v>80</v>
      </c>
      <c r="H6" s="7" t="s">
        <v>82</v>
      </c>
      <c r="I6" s="6" t="s">
        <v>30</v>
      </c>
      <c r="J6" s="8">
        <v>5</v>
      </c>
      <c r="K6" s="7" t="s">
        <v>103</v>
      </c>
      <c r="L6" s="9">
        <v>0.15</v>
      </c>
      <c r="M6" s="7" t="s">
        <v>104</v>
      </c>
    </row>
    <row r="7" spans="1:13" ht="20.100000000000001" customHeight="1" x14ac:dyDescent="0.25">
      <c r="A7" s="2">
        <v>9001</v>
      </c>
      <c r="B7" s="2">
        <v>101</v>
      </c>
      <c r="C7" s="3" t="s">
        <v>11</v>
      </c>
      <c r="D7" s="3" t="s">
        <v>12</v>
      </c>
      <c r="E7" s="2">
        <v>45</v>
      </c>
      <c r="F7" s="3" t="s">
        <v>40</v>
      </c>
      <c r="G7" s="2" t="s">
        <v>39</v>
      </c>
      <c r="H7" s="3" t="s">
        <v>41</v>
      </c>
      <c r="I7" s="2" t="s">
        <v>30</v>
      </c>
      <c r="J7" s="10">
        <v>0.92300000000000004</v>
      </c>
      <c r="K7" s="3" t="s">
        <v>105</v>
      </c>
      <c r="L7" s="5">
        <v>0.1</v>
      </c>
      <c r="M7" s="3" t="s">
        <v>106</v>
      </c>
    </row>
    <row r="8" spans="1:13" ht="20.100000000000001" customHeight="1" x14ac:dyDescent="0.25">
      <c r="A8" s="6">
        <v>9001</v>
      </c>
      <c r="B8" s="6">
        <v>101</v>
      </c>
      <c r="C8" s="7" t="s">
        <v>11</v>
      </c>
      <c r="D8" s="7" t="s">
        <v>12</v>
      </c>
      <c r="E8" s="6">
        <v>45</v>
      </c>
      <c r="F8" s="7" t="s">
        <v>40</v>
      </c>
      <c r="G8" s="6" t="s">
        <v>43</v>
      </c>
      <c r="H8" s="7" t="s">
        <v>44</v>
      </c>
      <c r="I8" s="6" t="s">
        <v>30</v>
      </c>
      <c r="J8" s="8">
        <v>1.0069999999999999</v>
      </c>
      <c r="K8" s="7" t="s">
        <v>105</v>
      </c>
      <c r="L8" s="9">
        <v>0.1</v>
      </c>
      <c r="M8" s="7" t="s">
        <v>107</v>
      </c>
    </row>
    <row r="9" spans="1:13" ht="20.100000000000001" customHeight="1" x14ac:dyDescent="0.25">
      <c r="A9" s="2">
        <v>9001</v>
      </c>
      <c r="B9" s="2">
        <v>101</v>
      </c>
      <c r="C9" s="3" t="s">
        <v>11</v>
      </c>
      <c r="D9" s="3" t="s">
        <v>12</v>
      </c>
      <c r="E9" s="2">
        <v>45</v>
      </c>
      <c r="F9" s="3" t="s">
        <v>47</v>
      </c>
      <c r="G9" s="2" t="s">
        <v>46</v>
      </c>
      <c r="H9" s="3" t="s">
        <v>48</v>
      </c>
      <c r="I9" s="2" t="s">
        <v>30</v>
      </c>
      <c r="J9" s="10">
        <v>2.76E-2</v>
      </c>
      <c r="K9" s="3" t="s">
        <v>108</v>
      </c>
      <c r="L9" s="5">
        <v>0.2</v>
      </c>
      <c r="M9" s="3" t="s">
        <v>109</v>
      </c>
    </row>
    <row r="10" spans="1:13" ht="20.100000000000001" customHeight="1" x14ac:dyDescent="0.25">
      <c r="A10" s="6">
        <v>9001</v>
      </c>
      <c r="B10" s="6">
        <v>101</v>
      </c>
      <c r="C10" s="7" t="s">
        <v>11</v>
      </c>
      <c r="D10" s="7" t="s">
        <v>12</v>
      </c>
      <c r="E10" s="6">
        <v>45</v>
      </c>
      <c r="F10" s="7" t="s">
        <v>51</v>
      </c>
      <c r="G10" s="6" t="s">
        <v>50</v>
      </c>
      <c r="H10" s="7" t="s">
        <v>52</v>
      </c>
      <c r="I10" s="6" t="s">
        <v>30</v>
      </c>
      <c r="J10" s="11">
        <v>0.85099999999999998</v>
      </c>
      <c r="K10" s="7" t="s">
        <v>110</v>
      </c>
      <c r="L10" s="9">
        <v>0.15</v>
      </c>
      <c r="M10" s="7" t="s">
        <v>111</v>
      </c>
    </row>
    <row r="11" spans="1:13" ht="20.100000000000001" customHeight="1" x14ac:dyDescent="0.25">
      <c r="A11" s="2">
        <v>9001</v>
      </c>
      <c r="B11" s="2">
        <v>101</v>
      </c>
      <c r="C11" s="3" t="s">
        <v>11</v>
      </c>
      <c r="D11" s="3" t="s">
        <v>12</v>
      </c>
      <c r="E11" s="2">
        <v>45</v>
      </c>
      <c r="F11" s="3" t="s">
        <v>51</v>
      </c>
      <c r="G11" s="2" t="s">
        <v>54</v>
      </c>
      <c r="H11" s="3" t="s">
        <v>55</v>
      </c>
      <c r="I11" s="2" t="s">
        <v>30</v>
      </c>
      <c r="J11" s="10">
        <v>0.61399999999999999</v>
      </c>
      <c r="K11" s="3" t="s">
        <v>110</v>
      </c>
      <c r="L11" s="5">
        <v>0.15</v>
      </c>
      <c r="M11" s="3" t="s">
        <v>112</v>
      </c>
    </row>
    <row r="12" spans="1:13" ht="20.100000000000001" customHeight="1" x14ac:dyDescent="0.25">
      <c r="A12" s="6">
        <v>9001</v>
      </c>
      <c r="B12" s="6">
        <v>101</v>
      </c>
      <c r="C12" s="7" t="s">
        <v>11</v>
      </c>
      <c r="D12" s="7" t="s">
        <v>12</v>
      </c>
      <c r="E12" s="6">
        <v>45</v>
      </c>
      <c r="F12" s="7" t="s">
        <v>47</v>
      </c>
      <c r="G12" s="6" t="s">
        <v>57</v>
      </c>
      <c r="H12" s="7" t="s">
        <v>58</v>
      </c>
      <c r="I12" s="6" t="s">
        <v>30</v>
      </c>
      <c r="J12" s="11">
        <v>3.6799999999999999E-2</v>
      </c>
      <c r="K12" s="7" t="s">
        <v>108</v>
      </c>
      <c r="L12" s="9">
        <v>0.2</v>
      </c>
      <c r="M12" s="7" t="s">
        <v>113</v>
      </c>
    </row>
    <row r="13" spans="1:13" ht="20.100000000000001" customHeight="1" x14ac:dyDescent="0.25">
      <c r="A13" s="2">
        <v>9001</v>
      </c>
      <c r="B13" s="2">
        <v>101</v>
      </c>
      <c r="C13" s="3" t="s">
        <v>11</v>
      </c>
      <c r="D13" s="3" t="s">
        <v>12</v>
      </c>
      <c r="E13" s="2">
        <v>45</v>
      </c>
      <c r="F13" s="3" t="s">
        <v>61</v>
      </c>
      <c r="G13" s="2" t="s">
        <v>60</v>
      </c>
      <c r="H13" s="3" t="s">
        <v>62</v>
      </c>
      <c r="I13" s="2" t="s">
        <v>30</v>
      </c>
      <c r="J13" s="10">
        <v>0.376</v>
      </c>
      <c r="K13" s="3" t="s">
        <v>114</v>
      </c>
      <c r="L13" s="5">
        <v>0.15</v>
      </c>
      <c r="M13" s="3" t="s">
        <v>115</v>
      </c>
    </row>
    <row r="14" spans="1:13" ht="20.100000000000001" customHeight="1" x14ac:dyDescent="0.25">
      <c r="A14" s="6">
        <v>9001</v>
      </c>
      <c r="B14" s="6">
        <v>101</v>
      </c>
      <c r="C14" s="7" t="s">
        <v>11</v>
      </c>
      <c r="D14" s="7" t="s">
        <v>12</v>
      </c>
      <c r="E14" s="6">
        <v>45</v>
      </c>
      <c r="F14" s="7" t="s">
        <v>61</v>
      </c>
      <c r="G14" s="6" t="s">
        <v>64</v>
      </c>
      <c r="H14" s="7" t="s">
        <v>65</v>
      </c>
      <c r="I14" s="6" t="s">
        <v>30</v>
      </c>
      <c r="J14" s="11">
        <v>0.33600000000000002</v>
      </c>
      <c r="K14" s="7" t="s">
        <v>114</v>
      </c>
      <c r="L14" s="9">
        <v>0.15</v>
      </c>
      <c r="M14" s="7" t="s">
        <v>116</v>
      </c>
    </row>
    <row r="15" spans="1:13" ht="20.100000000000001" customHeight="1" x14ac:dyDescent="0.25">
      <c r="A15" s="2">
        <v>9001</v>
      </c>
      <c r="B15" s="2">
        <v>101</v>
      </c>
      <c r="C15" s="3" t="s">
        <v>11</v>
      </c>
      <c r="D15" s="3" t="s">
        <v>12</v>
      </c>
      <c r="E15" s="2">
        <v>45</v>
      </c>
      <c r="F15" s="3" t="s">
        <v>68</v>
      </c>
      <c r="G15" s="2" t="s">
        <v>67</v>
      </c>
      <c r="H15" s="3" t="s">
        <v>69</v>
      </c>
      <c r="I15" s="2" t="s">
        <v>30</v>
      </c>
      <c r="J15" s="10">
        <v>0.245</v>
      </c>
      <c r="K15" s="3" t="s">
        <v>117</v>
      </c>
      <c r="L15" s="5">
        <v>0.125</v>
      </c>
      <c r="M15" s="3" t="s">
        <v>118</v>
      </c>
    </row>
    <row r="16" spans="1:13" ht="20.100000000000001" customHeight="1" x14ac:dyDescent="0.25">
      <c r="A16" s="6">
        <v>9001</v>
      </c>
      <c r="B16" s="6">
        <v>101</v>
      </c>
      <c r="C16" s="7" t="s">
        <v>11</v>
      </c>
      <c r="D16" s="7" t="s">
        <v>12</v>
      </c>
      <c r="E16" s="6">
        <v>45</v>
      </c>
      <c r="F16" s="7" t="s">
        <v>68</v>
      </c>
      <c r="G16" s="6" t="s">
        <v>71</v>
      </c>
      <c r="H16" s="7" t="s">
        <v>72</v>
      </c>
      <c r="I16" s="6" t="s">
        <v>30</v>
      </c>
      <c r="J16" s="11">
        <v>0.245</v>
      </c>
      <c r="K16" s="7" t="s">
        <v>117</v>
      </c>
      <c r="L16" s="9">
        <v>0.125</v>
      </c>
      <c r="M16" s="7" t="s">
        <v>118</v>
      </c>
    </row>
    <row r="17" spans="1:13" ht="20.100000000000001" customHeight="1" x14ac:dyDescent="0.25">
      <c r="A17" s="2">
        <v>9001</v>
      </c>
      <c r="B17" s="2">
        <v>101</v>
      </c>
      <c r="C17" s="3" t="s">
        <v>11</v>
      </c>
      <c r="D17" s="3" t="s">
        <v>12</v>
      </c>
      <c r="E17" s="2">
        <v>45</v>
      </c>
      <c r="F17" s="3" t="s">
        <v>68</v>
      </c>
      <c r="G17" s="2" t="s">
        <v>74</v>
      </c>
      <c r="H17" s="3" t="s">
        <v>75</v>
      </c>
      <c r="I17" s="2" t="s">
        <v>30</v>
      </c>
      <c r="J17" s="10">
        <v>0.245</v>
      </c>
      <c r="K17" s="3" t="s">
        <v>117</v>
      </c>
      <c r="L17" s="5">
        <v>0.125</v>
      </c>
      <c r="M17" s="3" t="s">
        <v>118</v>
      </c>
    </row>
    <row r="18" spans="1:13" ht="20.100000000000001" customHeight="1" x14ac:dyDescent="0.25">
      <c r="A18" s="6">
        <v>9001</v>
      </c>
      <c r="B18" s="6">
        <v>101</v>
      </c>
      <c r="C18" s="7" t="s">
        <v>11</v>
      </c>
      <c r="D18" s="7" t="s">
        <v>12</v>
      </c>
      <c r="E18" s="6">
        <v>45</v>
      </c>
      <c r="F18" s="7" t="s">
        <v>68</v>
      </c>
      <c r="G18" s="6" t="s">
        <v>77</v>
      </c>
      <c r="H18" s="7" t="s">
        <v>78</v>
      </c>
      <c r="I18" s="6" t="s">
        <v>30</v>
      </c>
      <c r="J18" s="11">
        <v>0.245</v>
      </c>
      <c r="K18" s="7" t="s">
        <v>117</v>
      </c>
      <c r="L18" s="9">
        <v>0.125</v>
      </c>
      <c r="M18" s="7" t="s">
        <v>118</v>
      </c>
    </row>
    <row r="19" spans="1:13" ht="20.100000000000001" customHeight="1" x14ac:dyDescent="0.25">
      <c r="A19" s="2">
        <v>9001</v>
      </c>
      <c r="B19" s="2">
        <v>101</v>
      </c>
      <c r="C19" s="3" t="s">
        <v>11</v>
      </c>
      <c r="D19" s="3" t="s">
        <v>12</v>
      </c>
      <c r="E19" s="2">
        <v>45</v>
      </c>
      <c r="F19" s="3" t="s">
        <v>85</v>
      </c>
      <c r="G19" s="2" t="s">
        <v>84</v>
      </c>
      <c r="H19" s="3" t="s">
        <v>86</v>
      </c>
      <c r="I19" s="2" t="s">
        <v>87</v>
      </c>
      <c r="J19" s="4">
        <v>5</v>
      </c>
      <c r="K19" s="3" t="s">
        <v>119</v>
      </c>
      <c r="L19" s="5">
        <v>0.05</v>
      </c>
      <c r="M19" s="3" t="s">
        <v>120</v>
      </c>
    </row>
    <row r="20" spans="1:13" ht="20.100000000000001" customHeight="1" x14ac:dyDescent="0.25">
      <c r="A20" s="6">
        <v>9001</v>
      </c>
      <c r="B20" s="6">
        <v>101</v>
      </c>
      <c r="C20" s="7" t="s">
        <v>11</v>
      </c>
      <c r="D20" s="7" t="s">
        <v>12</v>
      </c>
      <c r="E20" s="6">
        <v>45</v>
      </c>
      <c r="F20" s="7" t="s">
        <v>85</v>
      </c>
      <c r="G20" s="6" t="s">
        <v>88</v>
      </c>
      <c r="H20" s="7" t="s">
        <v>89</v>
      </c>
      <c r="I20" s="6" t="s">
        <v>90</v>
      </c>
      <c r="J20" s="11">
        <v>0.33300000000000002</v>
      </c>
      <c r="K20" s="7" t="s">
        <v>121</v>
      </c>
      <c r="L20" s="9">
        <v>0.02</v>
      </c>
      <c r="M20" s="7" t="s">
        <v>122</v>
      </c>
    </row>
    <row r="21" spans="1:13" ht="20.100000000000001" customHeight="1" x14ac:dyDescent="0.25">
      <c r="A21" s="2">
        <v>9002</v>
      </c>
      <c r="B21" s="2">
        <v>102</v>
      </c>
      <c r="C21" s="3" t="s">
        <v>123</v>
      </c>
      <c r="D21" s="3" t="s">
        <v>124</v>
      </c>
      <c r="E21" s="2">
        <v>45</v>
      </c>
      <c r="F21" s="3" t="s">
        <v>28</v>
      </c>
      <c r="G21" s="2" t="s">
        <v>27</v>
      </c>
      <c r="H21" s="3" t="s">
        <v>29</v>
      </c>
      <c r="I21" s="2" t="s">
        <v>30</v>
      </c>
      <c r="J21" s="4">
        <v>23.617999999999999</v>
      </c>
      <c r="K21" s="3" t="s">
        <v>98</v>
      </c>
      <c r="L21" s="5">
        <v>0.15</v>
      </c>
      <c r="M21" s="3" t="s">
        <v>125</v>
      </c>
    </row>
    <row r="22" spans="1:13" ht="20.100000000000001" customHeight="1" x14ac:dyDescent="0.25">
      <c r="A22" s="6">
        <v>9002</v>
      </c>
      <c r="B22" s="6">
        <v>102</v>
      </c>
      <c r="C22" s="7" t="s">
        <v>123</v>
      </c>
      <c r="D22" s="7" t="s">
        <v>124</v>
      </c>
      <c r="E22" s="6">
        <v>45</v>
      </c>
      <c r="F22" s="7" t="s">
        <v>36</v>
      </c>
      <c r="G22" s="6" t="s">
        <v>35</v>
      </c>
      <c r="H22" s="7" t="s">
        <v>37</v>
      </c>
      <c r="I22" s="6" t="s">
        <v>30</v>
      </c>
      <c r="J22" s="11">
        <v>2.4799999999999999E-2</v>
      </c>
      <c r="K22" s="7" t="s">
        <v>101</v>
      </c>
      <c r="L22" s="9">
        <v>0.15</v>
      </c>
      <c r="M22" s="7" t="s">
        <v>126</v>
      </c>
    </row>
    <row r="23" spans="1:13" ht="20.100000000000001" customHeight="1" x14ac:dyDescent="0.25">
      <c r="A23" s="2">
        <v>9002</v>
      </c>
      <c r="B23" s="2">
        <v>102</v>
      </c>
      <c r="C23" s="3" t="s">
        <v>123</v>
      </c>
      <c r="D23" s="3" t="s">
        <v>124</v>
      </c>
      <c r="E23" s="2">
        <v>45</v>
      </c>
      <c r="F23" s="3" t="s">
        <v>81</v>
      </c>
      <c r="G23" s="2" t="s">
        <v>80</v>
      </c>
      <c r="H23" s="3" t="s">
        <v>82</v>
      </c>
      <c r="I23" s="2" t="s">
        <v>30</v>
      </c>
      <c r="J23" s="4">
        <v>5</v>
      </c>
      <c r="K23" s="3" t="s">
        <v>103</v>
      </c>
      <c r="L23" s="5">
        <v>0.15</v>
      </c>
      <c r="M23" s="3" t="s">
        <v>127</v>
      </c>
    </row>
    <row r="24" spans="1:13" ht="20.100000000000001" customHeight="1" x14ac:dyDescent="0.25">
      <c r="A24" s="6">
        <v>9002</v>
      </c>
      <c r="B24" s="6">
        <v>102</v>
      </c>
      <c r="C24" s="7" t="s">
        <v>123</v>
      </c>
      <c r="D24" s="7" t="s">
        <v>124</v>
      </c>
      <c r="E24" s="6">
        <v>45</v>
      </c>
      <c r="F24" s="7" t="s">
        <v>40</v>
      </c>
      <c r="G24" s="6" t="s">
        <v>43</v>
      </c>
      <c r="H24" s="7" t="s">
        <v>44</v>
      </c>
      <c r="I24" s="6" t="s">
        <v>30</v>
      </c>
      <c r="J24" s="8">
        <v>1.0069999999999999</v>
      </c>
      <c r="K24" s="7" t="s">
        <v>105</v>
      </c>
      <c r="L24" s="9">
        <v>0.1</v>
      </c>
      <c r="M24" s="7" t="s">
        <v>128</v>
      </c>
    </row>
    <row r="25" spans="1:13" ht="20.100000000000001" customHeight="1" x14ac:dyDescent="0.25">
      <c r="A25" s="2">
        <v>9002</v>
      </c>
      <c r="B25" s="2">
        <v>102</v>
      </c>
      <c r="C25" s="3" t="s">
        <v>123</v>
      </c>
      <c r="D25" s="3" t="s">
        <v>124</v>
      </c>
      <c r="E25" s="2">
        <v>45</v>
      </c>
      <c r="F25" s="3" t="s">
        <v>51</v>
      </c>
      <c r="G25" s="2" t="s">
        <v>54</v>
      </c>
      <c r="H25" s="3" t="s">
        <v>55</v>
      </c>
      <c r="I25" s="2" t="s">
        <v>30</v>
      </c>
      <c r="J25" s="10">
        <v>0.61399999999999999</v>
      </c>
      <c r="K25" s="3" t="s">
        <v>110</v>
      </c>
      <c r="L25" s="5">
        <v>0.15</v>
      </c>
      <c r="M25" s="3" t="s">
        <v>129</v>
      </c>
    </row>
    <row r="26" spans="1:13" ht="20.100000000000001" customHeight="1" x14ac:dyDescent="0.25">
      <c r="A26" s="6">
        <v>9002</v>
      </c>
      <c r="B26" s="6">
        <v>102</v>
      </c>
      <c r="C26" s="7" t="s">
        <v>123</v>
      </c>
      <c r="D26" s="7" t="s">
        <v>124</v>
      </c>
      <c r="E26" s="6">
        <v>45</v>
      </c>
      <c r="F26" s="7" t="s">
        <v>61</v>
      </c>
      <c r="G26" s="6" t="s">
        <v>64</v>
      </c>
      <c r="H26" s="7" t="s">
        <v>65</v>
      </c>
      <c r="I26" s="6" t="s">
        <v>30</v>
      </c>
      <c r="J26" s="11">
        <v>0.33600000000000002</v>
      </c>
      <c r="K26" s="7" t="s">
        <v>114</v>
      </c>
      <c r="L26" s="9">
        <v>0.15</v>
      </c>
      <c r="M26" s="7" t="s">
        <v>130</v>
      </c>
    </row>
    <row r="27" spans="1:13" ht="20.100000000000001" customHeight="1" x14ac:dyDescent="0.25">
      <c r="A27" s="2">
        <v>9002</v>
      </c>
      <c r="B27" s="2">
        <v>102</v>
      </c>
      <c r="C27" s="3" t="s">
        <v>123</v>
      </c>
      <c r="D27" s="3" t="s">
        <v>124</v>
      </c>
      <c r="E27" s="2">
        <v>45</v>
      </c>
      <c r="F27" s="3" t="s">
        <v>85</v>
      </c>
      <c r="G27" s="2" t="s">
        <v>84</v>
      </c>
      <c r="H27" s="3" t="s">
        <v>86</v>
      </c>
      <c r="I27" s="2" t="s">
        <v>87</v>
      </c>
      <c r="J27" s="4">
        <v>5</v>
      </c>
      <c r="K27" s="3" t="s">
        <v>119</v>
      </c>
      <c r="L27" s="5">
        <v>0.05</v>
      </c>
      <c r="M27" s="3" t="s">
        <v>131</v>
      </c>
    </row>
    <row r="28" spans="1:13" ht="20.100000000000001" customHeight="1" x14ac:dyDescent="0.25">
      <c r="A28" s="6">
        <v>9002</v>
      </c>
      <c r="B28" s="6">
        <v>102</v>
      </c>
      <c r="C28" s="7" t="s">
        <v>123</v>
      </c>
      <c r="D28" s="7" t="s">
        <v>124</v>
      </c>
      <c r="E28" s="6">
        <v>45</v>
      </c>
      <c r="F28" s="7" t="s">
        <v>85</v>
      </c>
      <c r="G28" s="6" t="s">
        <v>88</v>
      </c>
      <c r="H28" s="7" t="s">
        <v>89</v>
      </c>
      <c r="I28" s="6" t="s">
        <v>90</v>
      </c>
      <c r="J28" s="11">
        <v>0.33300000000000002</v>
      </c>
      <c r="K28" s="7" t="s">
        <v>121</v>
      </c>
      <c r="L28" s="9">
        <v>0.02</v>
      </c>
      <c r="M28" s="7" t="s">
        <v>132</v>
      </c>
    </row>
  </sheetData>
  <mergeCells count="1">
    <mergeCell ref="A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6"/>
  <sheetViews>
    <sheetView workbookViewId="0">
      <selection activeCell="D16" sqref="D16"/>
    </sheetView>
  </sheetViews>
  <sheetFormatPr defaultRowHeight="15" x14ac:dyDescent="0.25"/>
  <cols>
    <col min="1" max="1" width="11" customWidth="1"/>
    <col min="2" max="2" width="32" customWidth="1"/>
    <col min="3" max="3" width="14" customWidth="1"/>
    <col min="4" max="4" width="10" customWidth="1"/>
    <col min="5" max="5" width="16" customWidth="1"/>
    <col min="6" max="6" width="12" customWidth="1"/>
    <col min="7" max="7" width="14" customWidth="1"/>
    <col min="8" max="10" width="24" customWidth="1"/>
  </cols>
  <sheetData>
    <row r="1" spans="1:10" ht="27.95" customHeight="1" x14ac:dyDescent="0.25">
      <c r="A1" s="56" t="s">
        <v>142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21.95" customHeight="1" x14ac:dyDescent="0.25">
      <c r="A2" s="69" t="s">
        <v>143</v>
      </c>
      <c r="B2" s="70"/>
      <c r="C2" s="70"/>
      <c r="D2" s="70"/>
      <c r="E2" s="70"/>
      <c r="F2" s="70"/>
      <c r="G2" s="70"/>
      <c r="H2" s="70"/>
      <c r="I2" s="70"/>
      <c r="J2" s="70"/>
    </row>
    <row r="4" spans="1:10" ht="8.1" customHeight="1" x14ac:dyDescent="0.25"/>
    <row r="5" spans="1:10" ht="24" customHeight="1" x14ac:dyDescent="0.25">
      <c r="A5" s="63" t="s">
        <v>144</v>
      </c>
      <c r="B5" s="57"/>
      <c r="C5" s="57"/>
      <c r="D5" s="57"/>
      <c r="E5" s="57"/>
      <c r="F5" s="57"/>
      <c r="G5" s="57"/>
      <c r="H5" s="57"/>
      <c r="I5" s="57"/>
      <c r="J5" s="57"/>
    </row>
    <row r="6" spans="1:10" ht="18" customHeight="1" x14ac:dyDescent="0.25">
      <c r="A6" s="61" t="s">
        <v>145</v>
      </c>
      <c r="B6" s="62"/>
      <c r="C6" s="62"/>
      <c r="D6" s="62"/>
      <c r="E6" s="62"/>
      <c r="F6" s="62"/>
      <c r="G6" s="62"/>
      <c r="H6" s="62"/>
      <c r="I6" s="62"/>
      <c r="J6" s="62"/>
    </row>
    <row r="7" spans="1:10" ht="21.95" customHeight="1" x14ac:dyDescent="0.25">
      <c r="A7" s="1" t="s">
        <v>146</v>
      </c>
      <c r="B7" s="1" t="s">
        <v>147</v>
      </c>
      <c r="C7" s="1" t="s">
        <v>148</v>
      </c>
      <c r="D7" s="1" t="s">
        <v>149</v>
      </c>
      <c r="E7" s="67" t="s">
        <v>150</v>
      </c>
      <c r="F7" s="68"/>
      <c r="G7" s="68"/>
      <c r="H7" s="68"/>
      <c r="I7" s="68"/>
      <c r="J7" s="68"/>
    </row>
    <row r="8" spans="1:10" ht="18.95" customHeight="1" x14ac:dyDescent="0.25">
      <c r="A8" s="30" t="s">
        <v>151</v>
      </c>
      <c r="B8" s="30" t="s">
        <v>152</v>
      </c>
      <c r="C8" s="40">
        <v>45</v>
      </c>
      <c r="D8" s="27" t="s">
        <v>153</v>
      </c>
      <c r="E8" s="49" t="s">
        <v>154</v>
      </c>
      <c r="F8" s="64"/>
      <c r="G8" s="64"/>
      <c r="H8" s="64"/>
      <c r="I8" s="64"/>
      <c r="J8" s="64"/>
    </row>
    <row r="9" spans="1:10" ht="18.95" customHeight="1" x14ac:dyDescent="0.25">
      <c r="A9" s="30" t="s">
        <v>155</v>
      </c>
      <c r="B9" s="30" t="s">
        <v>156</v>
      </c>
      <c r="C9" s="40">
        <v>5.5</v>
      </c>
      <c r="D9" s="27" t="s">
        <v>153</v>
      </c>
      <c r="E9" s="49" t="s">
        <v>157</v>
      </c>
      <c r="F9" s="64"/>
      <c r="G9" s="64"/>
      <c r="H9" s="64"/>
      <c r="I9" s="64"/>
      <c r="J9" s="64"/>
    </row>
    <row r="10" spans="1:10" ht="18.95" customHeight="1" x14ac:dyDescent="0.25">
      <c r="A10" s="30" t="s">
        <v>158</v>
      </c>
      <c r="B10" s="30" t="s">
        <v>156</v>
      </c>
      <c r="C10" s="40">
        <v>6.5</v>
      </c>
      <c r="D10" s="27" t="s">
        <v>153</v>
      </c>
      <c r="E10" s="49" t="s">
        <v>159</v>
      </c>
      <c r="F10" s="64"/>
      <c r="G10" s="64"/>
      <c r="H10" s="64"/>
      <c r="I10" s="64"/>
      <c r="J10" s="64"/>
    </row>
    <row r="11" spans="1:10" ht="18.95" customHeight="1" x14ac:dyDescent="0.25">
      <c r="A11" s="30" t="s">
        <v>160</v>
      </c>
      <c r="B11" s="30" t="s">
        <v>161</v>
      </c>
      <c r="C11" s="40">
        <v>140</v>
      </c>
      <c r="D11" s="27" t="s">
        <v>153</v>
      </c>
      <c r="E11" s="49" t="s">
        <v>162</v>
      </c>
      <c r="F11" s="64"/>
      <c r="G11" s="64"/>
      <c r="H11" s="64"/>
      <c r="I11" s="64"/>
      <c r="J11" s="64"/>
    </row>
    <row r="12" spans="1:10" ht="18.95" customHeight="1" x14ac:dyDescent="0.25">
      <c r="A12" s="30" t="s">
        <v>163</v>
      </c>
      <c r="B12" s="30" t="s">
        <v>164</v>
      </c>
      <c r="C12" s="40">
        <v>23.617999999999999</v>
      </c>
      <c r="D12" s="27" t="s">
        <v>165</v>
      </c>
      <c r="E12" s="49" t="s">
        <v>166</v>
      </c>
      <c r="F12" s="64"/>
      <c r="G12" s="64"/>
      <c r="H12" s="64"/>
      <c r="I12" s="64"/>
      <c r="J12" s="64"/>
    </row>
    <row r="13" spans="1:10" ht="18.95" customHeight="1" x14ac:dyDescent="0.25">
      <c r="A13" s="30" t="s">
        <v>167</v>
      </c>
      <c r="B13" s="30" t="s">
        <v>164</v>
      </c>
      <c r="C13" s="40">
        <v>27.911999999999999</v>
      </c>
      <c r="D13" s="27" t="s">
        <v>165</v>
      </c>
      <c r="E13" s="49" t="s">
        <v>168</v>
      </c>
      <c r="F13" s="64"/>
      <c r="G13" s="64"/>
      <c r="H13" s="64"/>
      <c r="I13" s="64"/>
      <c r="J13" s="64"/>
    </row>
    <row r="14" spans="1:10" ht="18.95" customHeight="1" x14ac:dyDescent="0.25">
      <c r="A14" s="30" t="s">
        <v>169</v>
      </c>
      <c r="B14" s="30" t="s">
        <v>170</v>
      </c>
      <c r="C14" s="40">
        <v>1.9789999999999999E-2</v>
      </c>
      <c r="D14" s="27" t="s">
        <v>171</v>
      </c>
      <c r="E14" s="49" t="s">
        <v>172</v>
      </c>
      <c r="F14" s="64"/>
      <c r="G14" s="64"/>
      <c r="H14" s="64"/>
      <c r="I14" s="64"/>
      <c r="J14" s="64"/>
    </row>
    <row r="15" spans="1:10" ht="18.95" customHeight="1" x14ac:dyDescent="0.25">
      <c r="A15" s="30" t="s">
        <v>173</v>
      </c>
      <c r="B15" s="30" t="s">
        <v>174</v>
      </c>
      <c r="C15" s="40">
        <v>2.0979999999999999E-2</v>
      </c>
      <c r="D15" s="27" t="s">
        <v>171</v>
      </c>
      <c r="E15" s="49" t="s">
        <v>175</v>
      </c>
      <c r="F15" s="64"/>
      <c r="G15" s="64"/>
      <c r="H15" s="64"/>
      <c r="I15" s="64"/>
      <c r="J15" s="64"/>
    </row>
    <row r="16" spans="1:10" ht="18.95" customHeight="1" x14ac:dyDescent="0.25">
      <c r="A16" s="30" t="s">
        <v>176</v>
      </c>
      <c r="B16" s="30" t="s">
        <v>177</v>
      </c>
      <c r="C16" s="40">
        <v>3542.7</v>
      </c>
      <c r="D16" s="27" t="s">
        <v>30</v>
      </c>
      <c r="E16" s="49" t="s">
        <v>178</v>
      </c>
      <c r="F16" s="64"/>
      <c r="G16" s="64"/>
      <c r="H16" s="64"/>
      <c r="I16" s="64"/>
      <c r="J16" s="64"/>
    </row>
    <row r="17" spans="1:10" ht="8.1" customHeight="1" x14ac:dyDescent="0.25"/>
    <row r="18" spans="1:10" ht="24" customHeight="1" x14ac:dyDescent="0.25">
      <c r="A18" s="63" t="s">
        <v>179</v>
      </c>
      <c r="B18" s="57"/>
      <c r="C18" s="57"/>
      <c r="D18" s="57"/>
      <c r="E18" s="57"/>
      <c r="F18" s="57"/>
      <c r="G18" s="57"/>
      <c r="H18" s="57"/>
      <c r="I18" s="57"/>
      <c r="J18" s="57"/>
    </row>
    <row r="19" spans="1:10" ht="18" customHeight="1" x14ac:dyDescent="0.25">
      <c r="A19" s="61" t="s">
        <v>180</v>
      </c>
      <c r="B19" s="62"/>
      <c r="C19" s="62"/>
      <c r="D19" s="62"/>
      <c r="E19" s="62"/>
      <c r="F19" s="62"/>
      <c r="G19" s="62"/>
      <c r="H19" s="62"/>
      <c r="I19" s="62"/>
      <c r="J19" s="62"/>
    </row>
    <row r="20" spans="1:10" ht="26.1" customHeight="1" x14ac:dyDescent="0.25">
      <c r="A20" s="1" t="s">
        <v>181</v>
      </c>
      <c r="B20" s="1" t="s">
        <v>182</v>
      </c>
      <c r="C20" s="1" t="s">
        <v>183</v>
      </c>
      <c r="D20" s="1" t="s">
        <v>96</v>
      </c>
      <c r="E20" s="1" t="s">
        <v>184</v>
      </c>
      <c r="F20" s="1" t="s">
        <v>185</v>
      </c>
      <c r="G20" s="1" t="s">
        <v>186</v>
      </c>
      <c r="H20" s="1" t="s">
        <v>187</v>
      </c>
      <c r="I20" s="67" t="s">
        <v>188</v>
      </c>
      <c r="J20" s="68"/>
    </row>
    <row r="21" spans="1:10" ht="20.100000000000001" customHeight="1" x14ac:dyDescent="0.25">
      <c r="A21" s="13" t="s">
        <v>27</v>
      </c>
      <c r="B21" s="14" t="s">
        <v>189</v>
      </c>
      <c r="C21" s="15">
        <v>23.617999999999999</v>
      </c>
      <c r="D21" s="41">
        <v>0.15</v>
      </c>
      <c r="E21" s="18">
        <v>4167.88</v>
      </c>
      <c r="F21" s="15">
        <v>150</v>
      </c>
      <c r="G21" s="34">
        <v>-4017.88</v>
      </c>
      <c r="H21" s="14" t="s">
        <v>190</v>
      </c>
      <c r="I21" s="65" t="s">
        <v>191</v>
      </c>
      <c r="J21" s="66"/>
    </row>
    <row r="22" spans="1:10" ht="20.100000000000001" customHeight="1" x14ac:dyDescent="0.25">
      <c r="A22" s="19" t="s">
        <v>32</v>
      </c>
      <c r="B22" s="20" t="s">
        <v>192</v>
      </c>
      <c r="C22" s="21">
        <v>27.911999999999999</v>
      </c>
      <c r="D22" s="42">
        <v>0.15</v>
      </c>
      <c r="E22" s="23">
        <v>4925.6499999999996</v>
      </c>
      <c r="F22" s="21">
        <v>65</v>
      </c>
      <c r="G22" s="43">
        <v>-4860.6499999999996</v>
      </c>
      <c r="H22" s="20" t="s">
        <v>190</v>
      </c>
      <c r="I22" s="59" t="s">
        <v>193</v>
      </c>
      <c r="J22" s="60"/>
    </row>
    <row r="23" spans="1:10" ht="20.100000000000001" customHeight="1" x14ac:dyDescent="0.25">
      <c r="A23" s="13" t="s">
        <v>35</v>
      </c>
      <c r="B23" s="14" t="s">
        <v>194</v>
      </c>
      <c r="C23" s="44">
        <v>2.4799999999999999E-2</v>
      </c>
      <c r="D23" s="41">
        <v>0.15</v>
      </c>
      <c r="E23" s="16">
        <v>4.38</v>
      </c>
      <c r="F23" s="15">
        <v>2</v>
      </c>
      <c r="G23" s="34">
        <v>-2.38</v>
      </c>
      <c r="H23" s="14" t="s">
        <v>195</v>
      </c>
      <c r="I23" s="65" t="s">
        <v>196</v>
      </c>
      <c r="J23" s="66"/>
    </row>
    <row r="24" spans="1:10" ht="20.100000000000001" customHeight="1" x14ac:dyDescent="0.25">
      <c r="A24" s="19" t="s">
        <v>80</v>
      </c>
      <c r="B24" s="20" t="s">
        <v>197</v>
      </c>
      <c r="C24" s="21">
        <v>5</v>
      </c>
      <c r="D24" s="42">
        <v>0.15</v>
      </c>
      <c r="E24" s="23">
        <v>882.35</v>
      </c>
      <c r="F24" s="21">
        <v>50</v>
      </c>
      <c r="G24" s="43">
        <v>-832.35</v>
      </c>
      <c r="H24" s="20" t="s">
        <v>198</v>
      </c>
      <c r="I24" s="59" t="s">
        <v>199</v>
      </c>
      <c r="J24" s="60"/>
    </row>
    <row r="25" spans="1:10" ht="20.100000000000001" customHeight="1" x14ac:dyDescent="0.25">
      <c r="A25" s="13" t="s">
        <v>39</v>
      </c>
      <c r="B25" s="14" t="s">
        <v>200</v>
      </c>
      <c r="C25" s="44">
        <v>0.92300000000000004</v>
      </c>
      <c r="D25" s="41">
        <v>0.1</v>
      </c>
      <c r="E25" s="16">
        <v>153.83000000000001</v>
      </c>
      <c r="F25" s="15">
        <v>30</v>
      </c>
      <c r="G25" s="34">
        <v>-123.83</v>
      </c>
      <c r="H25" s="14" t="s">
        <v>201</v>
      </c>
      <c r="I25" s="65" t="s">
        <v>202</v>
      </c>
      <c r="J25" s="66"/>
    </row>
    <row r="26" spans="1:10" ht="20.100000000000001" customHeight="1" x14ac:dyDescent="0.25">
      <c r="A26" s="19" t="s">
        <v>43</v>
      </c>
      <c r="B26" s="20" t="s">
        <v>203</v>
      </c>
      <c r="C26" s="21">
        <v>1.0069999999999999</v>
      </c>
      <c r="D26" s="42">
        <v>0.1</v>
      </c>
      <c r="E26" s="22">
        <v>167.83</v>
      </c>
      <c r="F26" s="21">
        <v>0</v>
      </c>
      <c r="G26" s="43">
        <v>-167.83</v>
      </c>
      <c r="H26" s="20" t="s">
        <v>204</v>
      </c>
      <c r="I26" s="59" t="s">
        <v>205</v>
      </c>
      <c r="J26" s="60"/>
    </row>
    <row r="27" spans="1:10" ht="20.100000000000001" customHeight="1" x14ac:dyDescent="0.25">
      <c r="A27" s="13" t="s">
        <v>46</v>
      </c>
      <c r="B27" s="14" t="s">
        <v>206</v>
      </c>
      <c r="C27" s="44">
        <v>2.76E-2</v>
      </c>
      <c r="D27" s="41">
        <v>0.2</v>
      </c>
      <c r="E27" s="16">
        <v>5.18</v>
      </c>
      <c r="F27" s="15">
        <v>0</v>
      </c>
      <c r="G27" s="34">
        <v>-5.18</v>
      </c>
      <c r="H27" s="14" t="s">
        <v>207</v>
      </c>
      <c r="I27" s="65" t="s">
        <v>208</v>
      </c>
      <c r="J27" s="66"/>
    </row>
    <row r="28" spans="1:10" ht="20.100000000000001" customHeight="1" x14ac:dyDescent="0.25">
      <c r="A28" s="19" t="s">
        <v>50</v>
      </c>
      <c r="B28" s="20" t="s">
        <v>209</v>
      </c>
      <c r="C28" s="45">
        <v>0.85099999999999998</v>
      </c>
      <c r="D28" s="42">
        <v>0.15</v>
      </c>
      <c r="E28" s="22">
        <v>150.18</v>
      </c>
      <c r="F28" s="21">
        <v>15</v>
      </c>
      <c r="G28" s="43">
        <v>-135.18</v>
      </c>
      <c r="H28" s="20" t="s">
        <v>210</v>
      </c>
      <c r="I28" s="59" t="s">
        <v>211</v>
      </c>
      <c r="J28" s="60"/>
    </row>
    <row r="29" spans="1:10" ht="20.100000000000001" customHeight="1" x14ac:dyDescent="0.25">
      <c r="A29" s="13" t="s">
        <v>54</v>
      </c>
      <c r="B29" s="14" t="s">
        <v>212</v>
      </c>
      <c r="C29" s="44">
        <v>0.61399999999999999</v>
      </c>
      <c r="D29" s="41">
        <v>0.15</v>
      </c>
      <c r="E29" s="16">
        <v>108.35</v>
      </c>
      <c r="F29" s="15">
        <v>0</v>
      </c>
      <c r="G29" s="34">
        <v>-108.35</v>
      </c>
      <c r="H29" s="14" t="s">
        <v>213</v>
      </c>
      <c r="I29" s="65" t="s">
        <v>214</v>
      </c>
      <c r="J29" s="66"/>
    </row>
    <row r="30" spans="1:10" ht="20.100000000000001" customHeight="1" x14ac:dyDescent="0.25">
      <c r="A30" s="19" t="s">
        <v>57</v>
      </c>
      <c r="B30" s="20" t="s">
        <v>215</v>
      </c>
      <c r="C30" s="45">
        <v>3.6799999999999999E-2</v>
      </c>
      <c r="D30" s="42">
        <v>0.2</v>
      </c>
      <c r="E30" s="22">
        <v>6.9</v>
      </c>
      <c r="F30" s="21">
        <v>0</v>
      </c>
      <c r="G30" s="43">
        <v>-6.9</v>
      </c>
      <c r="H30" s="20" t="s">
        <v>207</v>
      </c>
      <c r="I30" s="59" t="s">
        <v>216</v>
      </c>
      <c r="J30" s="60"/>
    </row>
    <row r="31" spans="1:10" ht="20.100000000000001" customHeight="1" x14ac:dyDescent="0.25">
      <c r="A31" s="13" t="s">
        <v>60</v>
      </c>
      <c r="B31" s="14" t="s">
        <v>217</v>
      </c>
      <c r="C31" s="44">
        <v>0.376</v>
      </c>
      <c r="D31" s="41">
        <v>0.15</v>
      </c>
      <c r="E31" s="16">
        <v>66.349999999999994</v>
      </c>
      <c r="F31" s="15">
        <v>2</v>
      </c>
      <c r="G31" s="34">
        <v>-64.349999999999994</v>
      </c>
      <c r="H31" s="14" t="s">
        <v>218</v>
      </c>
      <c r="I31" s="65" t="s">
        <v>219</v>
      </c>
      <c r="J31" s="66"/>
    </row>
    <row r="32" spans="1:10" ht="20.100000000000001" customHeight="1" x14ac:dyDescent="0.25">
      <c r="A32" s="19" t="s">
        <v>64</v>
      </c>
      <c r="B32" s="20" t="s">
        <v>220</v>
      </c>
      <c r="C32" s="45">
        <v>0.33600000000000002</v>
      </c>
      <c r="D32" s="42">
        <v>0.15</v>
      </c>
      <c r="E32" s="22">
        <v>59.29</v>
      </c>
      <c r="F32" s="21">
        <v>0</v>
      </c>
      <c r="G32" s="43">
        <v>-59.29</v>
      </c>
      <c r="H32" s="20" t="s">
        <v>221</v>
      </c>
      <c r="I32" s="59" t="s">
        <v>222</v>
      </c>
      <c r="J32" s="60"/>
    </row>
    <row r="33" spans="1:10" ht="20.100000000000001" customHeight="1" x14ac:dyDescent="0.25">
      <c r="A33" s="13" t="s">
        <v>67</v>
      </c>
      <c r="B33" s="14" t="s">
        <v>223</v>
      </c>
      <c r="C33" s="44">
        <v>0.245</v>
      </c>
      <c r="D33" s="41">
        <v>0.125</v>
      </c>
      <c r="E33" s="16">
        <v>42</v>
      </c>
      <c r="F33" s="15">
        <v>2.2000000000000002</v>
      </c>
      <c r="G33" s="34">
        <v>-39.799999999999997</v>
      </c>
      <c r="H33" s="14" t="s">
        <v>224</v>
      </c>
      <c r="I33" s="65" t="s">
        <v>225</v>
      </c>
      <c r="J33" s="66"/>
    </row>
    <row r="34" spans="1:10" ht="20.100000000000001" customHeight="1" x14ac:dyDescent="0.25">
      <c r="A34" s="19" t="s">
        <v>71</v>
      </c>
      <c r="B34" s="20" t="s">
        <v>226</v>
      </c>
      <c r="C34" s="45">
        <v>0.245</v>
      </c>
      <c r="D34" s="42">
        <v>0.125</v>
      </c>
      <c r="E34" s="22">
        <v>42</v>
      </c>
      <c r="F34" s="21">
        <v>2</v>
      </c>
      <c r="G34" s="43">
        <v>-40</v>
      </c>
      <c r="H34" s="20" t="s">
        <v>224</v>
      </c>
      <c r="I34" s="59" t="s">
        <v>225</v>
      </c>
      <c r="J34" s="60"/>
    </row>
    <row r="35" spans="1:10" ht="20.100000000000001" customHeight="1" x14ac:dyDescent="0.25">
      <c r="A35" s="13" t="s">
        <v>74</v>
      </c>
      <c r="B35" s="14" t="s">
        <v>227</v>
      </c>
      <c r="C35" s="44">
        <v>0.245</v>
      </c>
      <c r="D35" s="41">
        <v>0.125</v>
      </c>
      <c r="E35" s="16">
        <v>42</v>
      </c>
      <c r="F35" s="15">
        <v>1.5</v>
      </c>
      <c r="G35" s="34">
        <v>-40.5</v>
      </c>
      <c r="H35" s="14" t="s">
        <v>224</v>
      </c>
      <c r="I35" s="65" t="s">
        <v>225</v>
      </c>
      <c r="J35" s="66"/>
    </row>
    <row r="36" spans="1:10" ht="20.100000000000001" customHeight="1" x14ac:dyDescent="0.25">
      <c r="A36" s="19" t="s">
        <v>77</v>
      </c>
      <c r="B36" s="20" t="s">
        <v>228</v>
      </c>
      <c r="C36" s="45">
        <v>0.245</v>
      </c>
      <c r="D36" s="42">
        <v>0.125</v>
      </c>
      <c r="E36" s="22">
        <v>42</v>
      </c>
      <c r="F36" s="21">
        <v>0</v>
      </c>
      <c r="G36" s="43">
        <v>-42</v>
      </c>
      <c r="H36" s="20" t="s">
        <v>224</v>
      </c>
      <c r="I36" s="59" t="s">
        <v>225</v>
      </c>
      <c r="J36" s="60"/>
    </row>
    <row r="37" spans="1:10" ht="20.100000000000001" customHeight="1" x14ac:dyDescent="0.25">
      <c r="A37" s="13" t="s">
        <v>84</v>
      </c>
      <c r="B37" s="14" t="s">
        <v>86</v>
      </c>
      <c r="C37" s="15">
        <v>5</v>
      </c>
      <c r="D37" s="41">
        <v>0.05</v>
      </c>
      <c r="E37" s="18">
        <v>789</v>
      </c>
      <c r="F37" s="15">
        <v>50</v>
      </c>
      <c r="G37" s="34">
        <v>-739</v>
      </c>
      <c r="H37" s="14" t="s">
        <v>229</v>
      </c>
      <c r="I37" s="65" t="s">
        <v>230</v>
      </c>
      <c r="J37" s="66"/>
    </row>
    <row r="38" spans="1:10" ht="20.100000000000001" customHeight="1" x14ac:dyDescent="0.25">
      <c r="A38" s="19" t="s">
        <v>88</v>
      </c>
      <c r="B38" s="20" t="s">
        <v>89</v>
      </c>
      <c r="C38" s="45">
        <v>0.33300000000000002</v>
      </c>
      <c r="D38" s="42">
        <v>0.02</v>
      </c>
      <c r="E38" s="22">
        <v>51</v>
      </c>
      <c r="F38" s="21">
        <v>10</v>
      </c>
      <c r="G38" s="43">
        <v>-41</v>
      </c>
      <c r="H38" s="20" t="s">
        <v>229</v>
      </c>
      <c r="I38" s="59" t="s">
        <v>231</v>
      </c>
      <c r="J38" s="60"/>
    </row>
    <row r="39" spans="1:10" ht="8.1" customHeight="1" x14ac:dyDescent="0.25"/>
    <row r="40" spans="1:10" ht="24" customHeight="1" x14ac:dyDescent="0.25">
      <c r="A40" s="63" t="s">
        <v>232</v>
      </c>
      <c r="B40" s="57"/>
      <c r="C40" s="57"/>
      <c r="D40" s="57"/>
      <c r="E40" s="57"/>
      <c r="F40" s="57"/>
      <c r="G40" s="57"/>
      <c r="H40" s="57"/>
      <c r="I40" s="57"/>
      <c r="J40" s="57"/>
    </row>
    <row r="41" spans="1:10" ht="18" customHeight="1" x14ac:dyDescent="0.25">
      <c r="A41" s="61" t="s">
        <v>233</v>
      </c>
      <c r="B41" s="62"/>
      <c r="C41" s="62"/>
      <c r="D41" s="62"/>
      <c r="E41" s="62"/>
      <c r="F41" s="62"/>
      <c r="G41" s="62"/>
      <c r="H41" s="62"/>
      <c r="I41" s="62"/>
      <c r="J41" s="62"/>
    </row>
    <row r="42" spans="1:10" ht="18" customHeight="1" x14ac:dyDescent="0.25">
      <c r="A42" s="61" t="s">
        <v>234</v>
      </c>
      <c r="B42" s="62"/>
      <c r="C42" s="62"/>
      <c r="D42" s="62"/>
      <c r="E42" s="62"/>
      <c r="F42" s="62"/>
      <c r="G42" s="62"/>
      <c r="H42" s="62"/>
      <c r="I42" s="62"/>
      <c r="J42" s="62"/>
    </row>
    <row r="43" spans="1:10" ht="18" customHeight="1" x14ac:dyDescent="0.25">
      <c r="A43" s="61" t="s">
        <v>235</v>
      </c>
      <c r="B43" s="62"/>
      <c r="C43" s="62"/>
      <c r="D43" s="62"/>
      <c r="E43" s="62"/>
      <c r="F43" s="62"/>
      <c r="G43" s="62"/>
      <c r="H43" s="62"/>
      <c r="I43" s="62"/>
      <c r="J43" s="62"/>
    </row>
    <row r="44" spans="1:10" ht="18" customHeight="1" x14ac:dyDescent="0.25">
      <c r="A44" s="61" t="s">
        <v>236</v>
      </c>
      <c r="B44" s="62"/>
      <c r="C44" s="62"/>
      <c r="D44" s="62"/>
      <c r="E44" s="62"/>
      <c r="F44" s="62"/>
      <c r="G44" s="62"/>
      <c r="H44" s="62"/>
      <c r="I44" s="62"/>
      <c r="J44" s="62"/>
    </row>
    <row r="45" spans="1:10" ht="18" customHeight="1" x14ac:dyDescent="0.25">
      <c r="A45" s="61"/>
      <c r="B45" s="62"/>
      <c r="C45" s="62"/>
      <c r="D45" s="62"/>
      <c r="E45" s="62"/>
      <c r="F45" s="62"/>
      <c r="G45" s="62"/>
      <c r="H45" s="62"/>
      <c r="I45" s="62"/>
      <c r="J45" s="62"/>
    </row>
    <row r="46" spans="1:10" ht="18" customHeight="1" x14ac:dyDescent="0.25">
      <c r="A46" s="61" t="s">
        <v>237</v>
      </c>
      <c r="B46" s="62"/>
      <c r="C46" s="62"/>
      <c r="D46" s="62"/>
      <c r="E46" s="62"/>
      <c r="F46" s="62"/>
      <c r="G46" s="62"/>
      <c r="H46" s="62"/>
      <c r="I46" s="62"/>
      <c r="J46" s="62"/>
    </row>
    <row r="47" spans="1:10" ht="18" customHeight="1" x14ac:dyDescent="0.25">
      <c r="A47" s="61" t="s">
        <v>238</v>
      </c>
      <c r="B47" s="62"/>
      <c r="C47" s="62"/>
      <c r="D47" s="62"/>
      <c r="E47" s="62"/>
      <c r="F47" s="62"/>
      <c r="G47" s="62"/>
      <c r="H47" s="62"/>
      <c r="I47" s="62"/>
      <c r="J47" s="62"/>
    </row>
    <row r="48" spans="1:10" ht="18" customHeight="1" x14ac:dyDescent="0.25">
      <c r="A48" s="61" t="s">
        <v>239</v>
      </c>
      <c r="B48" s="62"/>
      <c r="C48" s="62"/>
      <c r="D48" s="62"/>
      <c r="E48" s="62"/>
      <c r="F48" s="62"/>
      <c r="G48" s="62"/>
      <c r="H48" s="62"/>
      <c r="I48" s="62"/>
      <c r="J48" s="62"/>
    </row>
    <row r="49" spans="1:10" ht="18" customHeight="1" x14ac:dyDescent="0.25">
      <c r="A49" s="61" t="s">
        <v>240</v>
      </c>
      <c r="B49" s="62"/>
      <c r="C49" s="62"/>
      <c r="D49" s="62"/>
      <c r="E49" s="62"/>
      <c r="F49" s="62"/>
      <c r="G49" s="62"/>
      <c r="H49" s="62"/>
      <c r="I49" s="62"/>
      <c r="J49" s="62"/>
    </row>
    <row r="50" spans="1:10" ht="18" customHeight="1" x14ac:dyDescent="0.25">
      <c r="A50" s="61"/>
      <c r="B50" s="62"/>
      <c r="C50" s="62"/>
      <c r="D50" s="62"/>
      <c r="E50" s="62"/>
      <c r="F50" s="62"/>
      <c r="G50" s="62"/>
      <c r="H50" s="62"/>
      <c r="I50" s="62"/>
      <c r="J50" s="62"/>
    </row>
    <row r="51" spans="1:10" ht="18" customHeight="1" x14ac:dyDescent="0.25">
      <c r="A51" s="61" t="s">
        <v>241</v>
      </c>
      <c r="B51" s="62"/>
      <c r="C51" s="62"/>
      <c r="D51" s="62"/>
      <c r="E51" s="62"/>
      <c r="F51" s="62"/>
      <c r="G51" s="62"/>
      <c r="H51" s="62"/>
      <c r="I51" s="62"/>
      <c r="J51" s="62"/>
    </row>
    <row r="52" spans="1:10" ht="18" customHeight="1" x14ac:dyDescent="0.25">
      <c r="A52" s="61" t="s">
        <v>242</v>
      </c>
      <c r="B52" s="62"/>
      <c r="C52" s="62"/>
      <c r="D52" s="62"/>
      <c r="E52" s="62"/>
      <c r="F52" s="62"/>
      <c r="G52" s="62"/>
      <c r="H52" s="62"/>
      <c r="I52" s="62"/>
      <c r="J52" s="62"/>
    </row>
    <row r="53" spans="1:10" ht="18" customHeight="1" x14ac:dyDescent="0.25">
      <c r="A53" s="61" t="s">
        <v>243</v>
      </c>
      <c r="B53" s="62"/>
      <c r="C53" s="62"/>
      <c r="D53" s="62"/>
      <c r="E53" s="62"/>
      <c r="F53" s="62"/>
      <c r="G53" s="62"/>
      <c r="H53" s="62"/>
      <c r="I53" s="62"/>
      <c r="J53" s="62"/>
    </row>
    <row r="54" spans="1:10" ht="8.1" customHeight="1" x14ac:dyDescent="0.25"/>
    <row r="55" spans="1:10" ht="24" customHeight="1" x14ac:dyDescent="0.25">
      <c r="A55" s="63" t="s">
        <v>244</v>
      </c>
      <c r="B55" s="57"/>
      <c r="C55" s="57"/>
      <c r="D55" s="57"/>
      <c r="E55" s="57"/>
      <c r="F55" s="57"/>
      <c r="G55" s="57"/>
      <c r="H55" s="57"/>
      <c r="I55" s="57"/>
      <c r="J55" s="57"/>
    </row>
    <row r="56" spans="1:10" ht="18" customHeight="1" x14ac:dyDescent="0.25">
      <c r="A56" s="61" t="s">
        <v>245</v>
      </c>
      <c r="B56" s="62"/>
      <c r="C56" s="62"/>
      <c r="D56" s="62"/>
      <c r="E56" s="62"/>
      <c r="F56" s="62"/>
      <c r="G56" s="62"/>
      <c r="H56" s="62"/>
      <c r="I56" s="62"/>
      <c r="J56" s="62"/>
    </row>
    <row r="57" spans="1:10" ht="18" customHeight="1" x14ac:dyDescent="0.25">
      <c r="A57" s="61" t="s">
        <v>246</v>
      </c>
      <c r="B57" s="62"/>
      <c r="C57" s="62"/>
      <c r="D57" s="62"/>
      <c r="E57" s="62"/>
      <c r="F57" s="62"/>
      <c r="G57" s="62"/>
      <c r="H57" s="62"/>
      <c r="I57" s="62"/>
      <c r="J57" s="62"/>
    </row>
    <row r="58" spans="1:10" ht="18" customHeight="1" x14ac:dyDescent="0.25">
      <c r="A58" s="61" t="s">
        <v>247</v>
      </c>
      <c r="B58" s="62"/>
      <c r="C58" s="62"/>
      <c r="D58" s="62"/>
      <c r="E58" s="62"/>
      <c r="F58" s="62"/>
      <c r="G58" s="62"/>
      <c r="H58" s="62"/>
      <c r="I58" s="62"/>
      <c r="J58" s="62"/>
    </row>
    <row r="59" spans="1:10" ht="18" customHeight="1" x14ac:dyDescent="0.25">
      <c r="A59" s="61" t="s">
        <v>248</v>
      </c>
      <c r="B59" s="62"/>
      <c r="C59" s="62"/>
      <c r="D59" s="62"/>
      <c r="E59" s="62"/>
      <c r="F59" s="62"/>
      <c r="G59" s="62"/>
      <c r="H59" s="62"/>
      <c r="I59" s="62"/>
      <c r="J59" s="62"/>
    </row>
    <row r="60" spans="1:10" ht="18" customHeight="1" x14ac:dyDescent="0.25">
      <c r="A60" s="61" t="s">
        <v>249</v>
      </c>
      <c r="B60" s="62"/>
      <c r="C60" s="62"/>
      <c r="D60" s="62"/>
      <c r="E60" s="62"/>
      <c r="F60" s="62"/>
      <c r="G60" s="62"/>
      <c r="H60" s="62"/>
      <c r="I60" s="62"/>
      <c r="J60" s="62"/>
    </row>
    <row r="61" spans="1:10" ht="18" customHeight="1" x14ac:dyDescent="0.25">
      <c r="A61" s="61" t="s">
        <v>250</v>
      </c>
      <c r="B61" s="62"/>
      <c r="C61" s="62"/>
      <c r="D61" s="62"/>
      <c r="E61" s="62"/>
      <c r="F61" s="62"/>
      <c r="G61" s="62"/>
      <c r="H61" s="62"/>
      <c r="I61" s="62"/>
      <c r="J61" s="62"/>
    </row>
    <row r="62" spans="1:10" ht="18" customHeight="1" x14ac:dyDescent="0.25">
      <c r="A62" s="61" t="s">
        <v>251</v>
      </c>
      <c r="B62" s="62"/>
      <c r="C62" s="62"/>
      <c r="D62" s="62"/>
      <c r="E62" s="62"/>
      <c r="F62" s="62"/>
      <c r="G62" s="62"/>
      <c r="H62" s="62"/>
      <c r="I62" s="62"/>
      <c r="J62" s="62"/>
    </row>
    <row r="63" spans="1:10" ht="18" customHeight="1" x14ac:dyDescent="0.25">
      <c r="A63" s="61" t="s">
        <v>252</v>
      </c>
      <c r="B63" s="62"/>
      <c r="C63" s="62"/>
      <c r="D63" s="62"/>
      <c r="E63" s="62"/>
      <c r="F63" s="62"/>
      <c r="G63" s="62"/>
      <c r="H63" s="62"/>
      <c r="I63" s="62"/>
      <c r="J63" s="62"/>
    </row>
    <row r="64" spans="1:10" ht="18" customHeight="1" x14ac:dyDescent="0.25">
      <c r="A64" s="61" t="s">
        <v>253</v>
      </c>
      <c r="B64" s="62"/>
      <c r="C64" s="62"/>
      <c r="D64" s="62"/>
      <c r="E64" s="62"/>
      <c r="F64" s="62"/>
      <c r="G64" s="62"/>
      <c r="H64" s="62"/>
      <c r="I64" s="62"/>
      <c r="J64" s="62"/>
    </row>
    <row r="65" spans="1:10" ht="18" customHeight="1" x14ac:dyDescent="0.25">
      <c r="A65" s="61" t="s">
        <v>254</v>
      </c>
      <c r="B65" s="62"/>
      <c r="C65" s="62"/>
      <c r="D65" s="62"/>
      <c r="E65" s="62"/>
      <c r="F65" s="62"/>
      <c r="G65" s="62"/>
      <c r="H65" s="62"/>
      <c r="I65" s="62"/>
      <c r="J65" s="62"/>
    </row>
    <row r="66" spans="1:10" ht="18" customHeight="1" x14ac:dyDescent="0.25">
      <c r="A66" s="61" t="s">
        <v>255</v>
      </c>
      <c r="B66" s="62"/>
      <c r="C66" s="62"/>
      <c r="D66" s="62"/>
      <c r="E66" s="62"/>
      <c r="F66" s="62"/>
      <c r="G66" s="62"/>
      <c r="H66" s="62"/>
      <c r="I66" s="62"/>
      <c r="J66" s="62"/>
    </row>
  </sheetData>
  <mergeCells count="61">
    <mergeCell ref="A65:J65"/>
    <mergeCell ref="E12:J12"/>
    <mergeCell ref="A41:J41"/>
    <mergeCell ref="A66:J66"/>
    <mergeCell ref="I29:J29"/>
    <mergeCell ref="I35:J35"/>
    <mergeCell ref="A46:J46"/>
    <mergeCell ref="I20:J20"/>
    <mergeCell ref="I38:J38"/>
    <mergeCell ref="E14:J14"/>
    <mergeCell ref="A18:J18"/>
    <mergeCell ref="A56:J56"/>
    <mergeCell ref="A55:J55"/>
    <mergeCell ref="I31:J31"/>
    <mergeCell ref="A50:J50"/>
    <mergeCell ref="A57:J57"/>
    <mergeCell ref="A1:J1"/>
    <mergeCell ref="E16:J16"/>
    <mergeCell ref="A45:J45"/>
    <mergeCell ref="A51:J51"/>
    <mergeCell ref="A61:J61"/>
    <mergeCell ref="A6:J6"/>
    <mergeCell ref="I24:J24"/>
    <mergeCell ref="I33:J33"/>
    <mergeCell ref="I23:J23"/>
    <mergeCell ref="E8:J8"/>
    <mergeCell ref="A2:J2"/>
    <mergeCell ref="A42:J42"/>
    <mergeCell ref="A64:J64"/>
    <mergeCell ref="A60:J60"/>
    <mergeCell ref="E7:J7"/>
    <mergeCell ref="I21:J21"/>
    <mergeCell ref="A49:J49"/>
    <mergeCell ref="A63:J63"/>
    <mergeCell ref="E11:J11"/>
    <mergeCell ref="A58:J58"/>
    <mergeCell ref="I32:J32"/>
    <mergeCell ref="A40:J40"/>
    <mergeCell ref="I25:J25"/>
    <mergeCell ref="A59:J59"/>
    <mergeCell ref="I37:J37"/>
    <mergeCell ref="A48:J48"/>
    <mergeCell ref="I22:J22"/>
    <mergeCell ref="I28:J28"/>
    <mergeCell ref="A62:J62"/>
    <mergeCell ref="E9:J9"/>
    <mergeCell ref="A53:J53"/>
    <mergeCell ref="I27:J27"/>
    <mergeCell ref="A43:J43"/>
    <mergeCell ref="I36:J36"/>
    <mergeCell ref="A52:J52"/>
    <mergeCell ref="I26:J26"/>
    <mergeCell ref="A19:J19"/>
    <mergeCell ref="E15:J15"/>
    <mergeCell ref="A44:J44"/>
    <mergeCell ref="I30:J30"/>
    <mergeCell ref="A47:J47"/>
    <mergeCell ref="A5:J5"/>
    <mergeCell ref="I34:J34"/>
    <mergeCell ref="E10:J10"/>
    <mergeCell ref="E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MRP</vt:lpstr>
      <vt:lpstr>Inventory</vt:lpstr>
      <vt:lpstr>BOM</vt:lpstr>
      <vt:lpstr>BOM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Sikander Shahjahan</cp:lastModifiedBy>
  <dcterms:created xsi:type="dcterms:W3CDTF">2026-10-08T08:25:01Z</dcterms:created>
  <dcterms:modified xsi:type="dcterms:W3CDTF">2026-10-08T08:34:54Z</dcterms:modified>
</cp:coreProperties>
</file>